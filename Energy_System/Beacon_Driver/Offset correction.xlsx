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honyng/Downloads/Project Development/"/>
    </mc:Choice>
  </mc:AlternateContent>
  <xr:revisionPtr revIDLastSave="0" documentId="13_ncr:1_{73AE3F49-7D53-A940-A311-7C96A64DE2CD}" xr6:coauthVersionLast="47" xr6:coauthVersionMax="47" xr10:uidLastSave="{00000000-0000-0000-0000-000000000000}"/>
  <bookViews>
    <workbookView xWindow="0" yWindow="0" windowWidth="33600" windowHeight="21000" activeTab="1" xr2:uid="{0A851ECF-2479-E54C-A583-DD83363B389E}"/>
  </bookViews>
  <sheets>
    <sheet name="Sheet1" sheetId="1" r:id="rId1"/>
    <sheet name="Error correction iteration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3" l="1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3" i="3"/>
  <c r="K21" i="3"/>
  <c r="L21" i="3" s="1"/>
  <c r="I21" i="3"/>
  <c r="J21" i="3" s="1"/>
  <c r="G21" i="3"/>
  <c r="H21" i="3"/>
  <c r="K20" i="3"/>
  <c r="L20" i="3" s="1"/>
  <c r="I20" i="3"/>
  <c r="J20" i="3" s="1"/>
  <c r="G20" i="3"/>
  <c r="H20" i="3"/>
  <c r="K19" i="3"/>
  <c r="L19" i="3" s="1"/>
  <c r="I19" i="3"/>
  <c r="J19" i="3" s="1"/>
  <c r="G19" i="3"/>
  <c r="H19" i="3"/>
  <c r="K18" i="3"/>
  <c r="L18" i="3" s="1"/>
  <c r="I18" i="3"/>
  <c r="J18" i="3"/>
  <c r="G18" i="3"/>
  <c r="H18" i="3"/>
  <c r="K17" i="3"/>
  <c r="L17" i="3" s="1"/>
  <c r="I17" i="3"/>
  <c r="J17" i="3"/>
  <c r="G17" i="3"/>
  <c r="H17" i="3"/>
  <c r="K16" i="3"/>
  <c r="L16" i="3"/>
  <c r="I16" i="3"/>
  <c r="J16" i="3" s="1"/>
  <c r="G16" i="3"/>
  <c r="H16" i="3"/>
  <c r="K15" i="3"/>
  <c r="L15" i="3" s="1"/>
  <c r="I15" i="3"/>
  <c r="J15" i="3" s="1"/>
  <c r="G15" i="3"/>
  <c r="H15" i="3"/>
  <c r="K14" i="3"/>
  <c r="L14" i="3"/>
  <c r="I14" i="3"/>
  <c r="J14" i="3" s="1"/>
  <c r="G14" i="3"/>
  <c r="H14" i="3"/>
  <c r="K13" i="3"/>
  <c r="L13" i="3" s="1"/>
  <c r="I13" i="3"/>
  <c r="J13" i="3" s="1"/>
  <c r="G13" i="3"/>
  <c r="H13" i="3"/>
  <c r="G4" i="3"/>
  <c r="G5" i="3"/>
  <c r="G6" i="3"/>
  <c r="G7" i="3"/>
  <c r="G8" i="3"/>
  <c r="G9" i="3"/>
  <c r="G10" i="3"/>
  <c r="G11" i="3"/>
  <c r="G12" i="3"/>
  <c r="G3" i="3"/>
  <c r="I12" i="3"/>
  <c r="J12" i="3" s="1"/>
  <c r="H12" i="3"/>
  <c r="K12" i="3"/>
  <c r="L12" i="3" s="1"/>
  <c r="I11" i="3"/>
  <c r="J11" i="3" s="1"/>
  <c r="H11" i="3"/>
  <c r="K11" i="3"/>
  <c r="L11" i="3" s="1"/>
  <c r="K10" i="3"/>
  <c r="L10" i="3" s="1"/>
  <c r="I10" i="3"/>
  <c r="J10" i="3" s="1"/>
  <c r="H10" i="3"/>
  <c r="I9" i="3"/>
  <c r="J9" i="3" s="1"/>
  <c r="H9" i="3"/>
  <c r="K9" i="3"/>
  <c r="L9" i="3" s="1"/>
  <c r="K8" i="3"/>
  <c r="L8" i="3" s="1"/>
  <c r="I8" i="3"/>
  <c r="J8" i="3" s="1"/>
  <c r="H8" i="3"/>
  <c r="K7" i="3"/>
  <c r="L7" i="3" s="1"/>
  <c r="I7" i="3"/>
  <c r="J7" i="3" s="1"/>
  <c r="H7" i="3"/>
  <c r="I6" i="3"/>
  <c r="J6" i="3" s="1"/>
  <c r="H6" i="3"/>
  <c r="K6" i="3"/>
  <c r="L6" i="3" s="1"/>
  <c r="K5" i="3"/>
  <c r="L5" i="3" s="1"/>
  <c r="I5" i="3"/>
  <c r="J5" i="3" s="1"/>
  <c r="H5" i="3"/>
  <c r="K4" i="3"/>
  <c r="L4" i="3" s="1"/>
  <c r="I4" i="3"/>
  <c r="J4" i="3" s="1"/>
  <c r="H4" i="3"/>
  <c r="I3" i="3"/>
  <c r="J3" i="3" s="1"/>
  <c r="H3" i="3"/>
  <c r="K3" i="3"/>
  <c r="L3" i="3" s="1"/>
  <c r="Q4" i="1"/>
  <c r="Q5" i="1"/>
  <c r="Q6" i="1"/>
  <c r="Q7" i="1"/>
  <c r="Q8" i="1"/>
  <c r="Q9" i="1"/>
  <c r="Q10" i="1"/>
  <c r="Q11" i="1"/>
  <c r="Q12" i="1"/>
  <c r="Q3" i="1"/>
  <c r="P4" i="1"/>
  <c r="P5" i="1"/>
  <c r="P6" i="1"/>
  <c r="P7" i="1"/>
  <c r="P8" i="1"/>
  <c r="P9" i="1"/>
  <c r="P10" i="1"/>
  <c r="P11" i="1"/>
  <c r="P12" i="1"/>
  <c r="P3" i="1"/>
  <c r="R12" i="1"/>
  <c r="S12" i="1" s="1"/>
  <c r="R11" i="1"/>
  <c r="S11" i="1" s="1"/>
  <c r="R10" i="1"/>
  <c r="S10" i="1" s="1"/>
  <c r="R9" i="1"/>
  <c r="S9" i="1" s="1"/>
  <c r="R8" i="1"/>
  <c r="S8" i="1" s="1"/>
  <c r="R7" i="1"/>
  <c r="S7" i="1" s="1"/>
  <c r="R6" i="1"/>
  <c r="S6" i="1" s="1"/>
  <c r="R5" i="1"/>
  <c r="S5" i="1" s="1"/>
  <c r="R4" i="1"/>
  <c r="S4" i="1" s="1"/>
  <c r="R3" i="1"/>
  <c r="S3" i="1"/>
  <c r="L13" i="1"/>
  <c r="M13" i="1" s="1"/>
  <c r="J13" i="1"/>
  <c r="K13" i="1"/>
  <c r="N8" i="1"/>
  <c r="O8" i="1" s="1"/>
  <c r="N10" i="1"/>
  <c r="O10" i="1" s="1"/>
  <c r="I12" i="1"/>
  <c r="N12" i="1" s="1"/>
  <c r="O12" i="1" s="1"/>
  <c r="I11" i="1"/>
  <c r="N11" i="1" s="1"/>
  <c r="O11" i="1" s="1"/>
  <c r="I9" i="1"/>
  <c r="N9" i="1" s="1"/>
  <c r="O9" i="1" s="1"/>
  <c r="I7" i="1"/>
  <c r="N7" i="1" s="1"/>
  <c r="O7" i="1" s="1"/>
  <c r="I6" i="1"/>
  <c r="N6" i="1" s="1"/>
  <c r="O6" i="1" s="1"/>
  <c r="I5" i="1"/>
  <c r="N5" i="1" s="1"/>
  <c r="O5" i="1" s="1"/>
  <c r="I4" i="1"/>
  <c r="N4" i="1" s="1"/>
  <c r="O4" i="1" s="1"/>
  <c r="I3" i="1"/>
  <c r="N3" i="1" s="1"/>
  <c r="O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3" i="1"/>
  <c r="M3" i="1" s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</calcChain>
</file>

<file path=xl/sharedStrings.xml><?xml version="1.0" encoding="utf-8"?>
<sst xmlns="http://schemas.openxmlformats.org/spreadsheetml/2006/main" count="47" uniqueCount="25">
  <si>
    <t>Real</t>
  </si>
  <si>
    <t>Thonny</t>
  </si>
  <si>
    <t>Vin</t>
  </si>
  <si>
    <t>Vout</t>
  </si>
  <si>
    <t>Vin ADC</t>
  </si>
  <si>
    <t>Vout ADC</t>
  </si>
  <si>
    <t>Vret ADC</t>
  </si>
  <si>
    <t>Vin conv</t>
  </si>
  <si>
    <t>Vout conv</t>
  </si>
  <si>
    <t>Iret conv</t>
  </si>
  <si>
    <t>Error</t>
  </si>
  <si>
    <t>Vin offset</t>
  </si>
  <si>
    <t>Vin %</t>
  </si>
  <si>
    <t>Vout offset</t>
  </si>
  <si>
    <t>Vout %</t>
  </si>
  <si>
    <t>Iout</t>
  </si>
  <si>
    <t>Iout offset</t>
  </si>
  <si>
    <t>Iout %</t>
  </si>
  <si>
    <t>Offset correction</t>
  </si>
  <si>
    <t>Vin OC</t>
  </si>
  <si>
    <t>Vin OC Error%</t>
  </si>
  <si>
    <t>Vout OC</t>
  </si>
  <si>
    <t>Vout OC Error%</t>
  </si>
  <si>
    <t>Iout OC</t>
  </si>
  <si>
    <t>Iout OC Error%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</si>
</sst>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SF Pro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Vin</a:t>
            </a:r>
            <a:r>
              <a:rPr lang="en-GB" baseline="0"/>
              <a:t> PSU - Thonny conversion error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Vin error relation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Sheet1!$A$3:$A$12</c:f>
              <c:numCache>
                <c:formatCode>General</c:formatCode>
                <c:ptCount val="10"/>
                <c:pt idx="0">
                  <c:v>0</c:v>
                </c:pt>
                <c:pt idx="1">
                  <c:v>10.08</c:v>
                </c:pt>
                <c:pt idx="2">
                  <c:v>8.6</c:v>
                </c:pt>
                <c:pt idx="3">
                  <c:v>6.47</c:v>
                </c:pt>
                <c:pt idx="4">
                  <c:v>5.57</c:v>
                </c:pt>
                <c:pt idx="5">
                  <c:v>5.85</c:v>
                </c:pt>
                <c:pt idx="6">
                  <c:v>4.54</c:v>
                </c:pt>
                <c:pt idx="7">
                  <c:v>3.37</c:v>
                </c:pt>
                <c:pt idx="8">
                  <c:v>9.56</c:v>
                </c:pt>
                <c:pt idx="9">
                  <c:v>12.16</c:v>
                </c:pt>
              </c:numCache>
            </c:numRef>
          </c:xVal>
          <c:yVal>
            <c:numRef>
              <c:f>Sheet1!$G$3:$G$12</c:f>
              <c:numCache>
                <c:formatCode>General</c:formatCode>
                <c:ptCount val="10"/>
                <c:pt idx="0">
                  <c:v>2.31</c:v>
                </c:pt>
                <c:pt idx="1">
                  <c:v>9.77</c:v>
                </c:pt>
                <c:pt idx="2">
                  <c:v>8.31</c:v>
                </c:pt>
                <c:pt idx="3">
                  <c:v>6.25</c:v>
                </c:pt>
                <c:pt idx="4">
                  <c:v>5.44</c:v>
                </c:pt>
                <c:pt idx="5">
                  <c:v>5.69</c:v>
                </c:pt>
                <c:pt idx="6">
                  <c:v>4.42</c:v>
                </c:pt>
                <c:pt idx="7">
                  <c:v>3.29</c:v>
                </c:pt>
                <c:pt idx="8">
                  <c:v>9.1999999999999993</c:v>
                </c:pt>
                <c:pt idx="9">
                  <c:v>11.77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CA-CB47-AC84-3583CB54821A}"/>
            </c:ext>
          </c:extLst>
        </c:ser>
        <c:ser>
          <c:idx val="1"/>
          <c:order val="1"/>
          <c:tx>
            <c:v>Vin error relation (exclude first point)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9"/>
                <c:pt idx="0">
                  <c:v>10.08</c:v>
                </c:pt>
                <c:pt idx="1">
                  <c:v>8.6</c:v>
                </c:pt>
                <c:pt idx="2">
                  <c:v>6.47</c:v>
                </c:pt>
                <c:pt idx="3">
                  <c:v>5.57</c:v>
                </c:pt>
                <c:pt idx="4">
                  <c:v>5.85</c:v>
                </c:pt>
                <c:pt idx="5">
                  <c:v>4.54</c:v>
                </c:pt>
                <c:pt idx="6">
                  <c:v>3.37</c:v>
                </c:pt>
                <c:pt idx="7">
                  <c:v>9.56</c:v>
                </c:pt>
                <c:pt idx="8">
                  <c:v>12.16</c:v>
                </c:pt>
              </c:numCache>
            </c:numRef>
          </c:xVal>
          <c:yVal>
            <c:numRef>
              <c:f>Sheet1!$G$4:$G$13</c:f>
              <c:numCache>
                <c:formatCode>General</c:formatCode>
                <c:ptCount val="9"/>
                <c:pt idx="0">
                  <c:v>9.77</c:v>
                </c:pt>
                <c:pt idx="1">
                  <c:v>8.31</c:v>
                </c:pt>
                <c:pt idx="2">
                  <c:v>6.25</c:v>
                </c:pt>
                <c:pt idx="3">
                  <c:v>5.44</c:v>
                </c:pt>
                <c:pt idx="4">
                  <c:v>5.69</c:v>
                </c:pt>
                <c:pt idx="5">
                  <c:v>4.42</c:v>
                </c:pt>
                <c:pt idx="6">
                  <c:v>3.29</c:v>
                </c:pt>
                <c:pt idx="7">
                  <c:v>9.1999999999999993</c:v>
                </c:pt>
                <c:pt idx="8">
                  <c:v>11.77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CA-CB47-AC84-3583CB548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456512"/>
        <c:axId val="356458512"/>
      </c:scatterChart>
      <c:valAx>
        <c:axId val="35645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Real,</a:t>
                </a:r>
                <a:r>
                  <a:rPr lang="en-GB" baseline="0"/>
                  <a:t> V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58512"/>
        <c:crosses val="autoZero"/>
        <c:crossBetween val="midCat"/>
      </c:valAx>
      <c:valAx>
        <c:axId val="35645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Thonny,</a:t>
                </a:r>
                <a:r>
                  <a:rPr lang="en-GB" baseline="0"/>
                  <a:t> V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5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Vout</a:t>
            </a:r>
            <a:r>
              <a:rPr lang="en-GB" baseline="0"/>
              <a:t> PSU - Thonny conversion error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08A-3947-BF8E-D4425F76BDFF}"/>
              </c:ext>
            </c:extLst>
          </c:dPt>
          <c:xVal>
            <c:numRef>
              <c:f>Sheet1!$B$3:$B$12</c:f>
              <c:numCache>
                <c:formatCode>General</c:formatCode>
                <c:ptCount val="10"/>
                <c:pt idx="0">
                  <c:v>0</c:v>
                </c:pt>
                <c:pt idx="1">
                  <c:v>2.69</c:v>
                </c:pt>
                <c:pt idx="2">
                  <c:v>2.27</c:v>
                </c:pt>
                <c:pt idx="3">
                  <c:v>1.6739999999999999</c:v>
                </c:pt>
                <c:pt idx="4">
                  <c:v>1.4179999999999999</c:v>
                </c:pt>
                <c:pt idx="5">
                  <c:v>1.498</c:v>
                </c:pt>
                <c:pt idx="6">
                  <c:v>1.1116999999999999</c:v>
                </c:pt>
                <c:pt idx="7">
                  <c:v>0</c:v>
                </c:pt>
                <c:pt idx="8">
                  <c:v>2.5499999999999998</c:v>
                </c:pt>
                <c:pt idx="9">
                  <c:v>3.28</c:v>
                </c:pt>
              </c:numCache>
            </c:numRef>
          </c:xVal>
          <c:yVal>
            <c:numRef>
              <c:f>Sheet1!$H$3:$H$12</c:f>
              <c:numCache>
                <c:formatCode>General</c:formatCode>
                <c:ptCount val="10"/>
                <c:pt idx="0">
                  <c:v>0.08</c:v>
                </c:pt>
                <c:pt idx="1">
                  <c:v>2.95</c:v>
                </c:pt>
                <c:pt idx="2">
                  <c:v>2.48</c:v>
                </c:pt>
                <c:pt idx="3">
                  <c:v>1.88</c:v>
                </c:pt>
                <c:pt idx="4">
                  <c:v>1.6</c:v>
                </c:pt>
                <c:pt idx="5">
                  <c:v>1.68</c:v>
                </c:pt>
                <c:pt idx="6">
                  <c:v>1.27</c:v>
                </c:pt>
                <c:pt idx="7">
                  <c:v>0.08</c:v>
                </c:pt>
                <c:pt idx="8">
                  <c:v>2.78</c:v>
                </c:pt>
                <c:pt idx="9">
                  <c:v>3.58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7B-2F43-B744-9F455567F03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(Sheet1!$B$4,Sheet1!$B$6,Sheet1!$B$5,Sheet1!$B$7,Sheet1!$B$8,Sheet1!$B$9,Sheet1!$B$11,Sheet1!$B$12,Sheet1!$B$13)</c:f>
              <c:numCache>
                <c:formatCode>General</c:formatCode>
                <c:ptCount val="8"/>
                <c:pt idx="0">
                  <c:v>2.69</c:v>
                </c:pt>
                <c:pt idx="1">
                  <c:v>1.6739999999999999</c:v>
                </c:pt>
                <c:pt idx="2">
                  <c:v>2.27</c:v>
                </c:pt>
                <c:pt idx="3">
                  <c:v>1.4179999999999999</c:v>
                </c:pt>
                <c:pt idx="4">
                  <c:v>1.498</c:v>
                </c:pt>
                <c:pt idx="5">
                  <c:v>1.1116999999999999</c:v>
                </c:pt>
                <c:pt idx="6">
                  <c:v>2.5499999999999998</c:v>
                </c:pt>
                <c:pt idx="7">
                  <c:v>3.28</c:v>
                </c:pt>
              </c:numCache>
            </c:numRef>
          </c:xVal>
          <c:yVal>
            <c:numRef>
              <c:f>(Sheet1!$H$4,Sheet1!$H$5,Sheet1!$H$6,Sheet1!$H$7,Sheet1!$H$8,Sheet1!$H$9,Sheet1!$H$11,Sheet1!$H$12,Sheet1!$H$13)</c:f>
              <c:numCache>
                <c:formatCode>General</c:formatCode>
                <c:ptCount val="8"/>
                <c:pt idx="0">
                  <c:v>2.95</c:v>
                </c:pt>
                <c:pt idx="1">
                  <c:v>2.48</c:v>
                </c:pt>
                <c:pt idx="2">
                  <c:v>1.88</c:v>
                </c:pt>
                <c:pt idx="3">
                  <c:v>1.6</c:v>
                </c:pt>
                <c:pt idx="4">
                  <c:v>1.68</c:v>
                </c:pt>
                <c:pt idx="5">
                  <c:v>1.27</c:v>
                </c:pt>
                <c:pt idx="6">
                  <c:v>2.78</c:v>
                </c:pt>
                <c:pt idx="7">
                  <c:v>3.58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7B-2F43-B744-9F455567F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456512"/>
        <c:axId val="356458512"/>
      </c:scatterChart>
      <c:valAx>
        <c:axId val="35645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Real,</a:t>
                </a:r>
                <a:r>
                  <a:rPr lang="en-GB" baseline="0"/>
                  <a:t> V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58512"/>
        <c:crosses val="autoZero"/>
        <c:crossBetween val="midCat"/>
      </c:valAx>
      <c:valAx>
        <c:axId val="35645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Thonny,</a:t>
                </a:r>
                <a:r>
                  <a:rPr lang="en-GB" baseline="0"/>
                  <a:t> V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5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Vin</a:t>
            </a:r>
            <a:r>
              <a:rPr lang="en-GB" baseline="0"/>
              <a:t> error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'Error correction iteration1'!$A$3:$A$21</c:f>
              <c:numCache>
                <c:formatCode>General</c:formatCode>
                <c:ptCount val="19"/>
                <c:pt idx="0">
                  <c:v>3.77</c:v>
                </c:pt>
                <c:pt idx="1">
                  <c:v>4.4400000000000004</c:v>
                </c:pt>
                <c:pt idx="2">
                  <c:v>4.57</c:v>
                </c:pt>
                <c:pt idx="3">
                  <c:v>4.7699999999999996</c:v>
                </c:pt>
                <c:pt idx="4">
                  <c:v>5.12</c:v>
                </c:pt>
                <c:pt idx="5">
                  <c:v>6.76</c:v>
                </c:pt>
                <c:pt idx="6">
                  <c:v>7.12</c:v>
                </c:pt>
                <c:pt idx="7">
                  <c:v>7.47</c:v>
                </c:pt>
                <c:pt idx="8">
                  <c:v>8.07</c:v>
                </c:pt>
                <c:pt idx="9">
                  <c:v>8.4499999999999993</c:v>
                </c:pt>
                <c:pt idx="10">
                  <c:v>9.24</c:v>
                </c:pt>
                <c:pt idx="11">
                  <c:v>9.6</c:v>
                </c:pt>
                <c:pt idx="12">
                  <c:v>9.83</c:v>
                </c:pt>
                <c:pt idx="13">
                  <c:v>10.09</c:v>
                </c:pt>
                <c:pt idx="14">
                  <c:v>10.71</c:v>
                </c:pt>
                <c:pt idx="15">
                  <c:v>11.06</c:v>
                </c:pt>
                <c:pt idx="16">
                  <c:v>11.54</c:v>
                </c:pt>
                <c:pt idx="17">
                  <c:v>12</c:v>
                </c:pt>
                <c:pt idx="18">
                  <c:v>12.32</c:v>
                </c:pt>
              </c:numCache>
            </c:numRef>
          </c:xVal>
          <c:yVal>
            <c:numRef>
              <c:f>'Error correction iteration1'!$D$3:$D$21</c:f>
              <c:numCache>
                <c:formatCode>General</c:formatCode>
                <c:ptCount val="19"/>
                <c:pt idx="0">
                  <c:v>3.8</c:v>
                </c:pt>
                <c:pt idx="1">
                  <c:v>4.46</c:v>
                </c:pt>
                <c:pt idx="2">
                  <c:v>4.5999999999999996</c:v>
                </c:pt>
                <c:pt idx="3">
                  <c:v>4.8</c:v>
                </c:pt>
                <c:pt idx="4">
                  <c:v>5.13</c:v>
                </c:pt>
                <c:pt idx="5">
                  <c:v>6.74</c:v>
                </c:pt>
                <c:pt idx="6">
                  <c:v>7.08</c:v>
                </c:pt>
                <c:pt idx="7">
                  <c:v>7.45</c:v>
                </c:pt>
                <c:pt idx="8">
                  <c:v>8.06</c:v>
                </c:pt>
                <c:pt idx="9">
                  <c:v>8.48</c:v>
                </c:pt>
                <c:pt idx="10">
                  <c:v>9.24</c:v>
                </c:pt>
                <c:pt idx="11">
                  <c:v>9.6300000000000008</c:v>
                </c:pt>
                <c:pt idx="12">
                  <c:v>9.86</c:v>
                </c:pt>
                <c:pt idx="13">
                  <c:v>10.119999999999999</c:v>
                </c:pt>
                <c:pt idx="14">
                  <c:v>10.68</c:v>
                </c:pt>
                <c:pt idx="15">
                  <c:v>10.96</c:v>
                </c:pt>
                <c:pt idx="16">
                  <c:v>11.56</c:v>
                </c:pt>
                <c:pt idx="17">
                  <c:v>11.88</c:v>
                </c:pt>
                <c:pt idx="18">
                  <c:v>12.25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B3-6F4D-8041-024D86B31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742848"/>
        <c:axId val="543740064"/>
      </c:scatterChart>
      <c:valAx>
        <c:axId val="76674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740064"/>
        <c:crosses val="autoZero"/>
        <c:crossBetween val="midCat"/>
      </c:valAx>
      <c:valAx>
        <c:axId val="54374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74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Vout</a:t>
            </a:r>
            <a:r>
              <a:rPr lang="en-GB" baseline="0"/>
              <a:t> error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'Error correction iteration1'!$B$3:$B$21</c:f>
              <c:numCache>
                <c:formatCode>General</c:formatCode>
                <c:ptCount val="19"/>
                <c:pt idx="0">
                  <c:v>0</c:v>
                </c:pt>
                <c:pt idx="1">
                  <c:v>1.032</c:v>
                </c:pt>
                <c:pt idx="2">
                  <c:v>1.0720000000000001</c:v>
                </c:pt>
                <c:pt idx="3">
                  <c:v>1.1279999999999999</c:v>
                </c:pt>
                <c:pt idx="4">
                  <c:v>1.228</c:v>
                </c:pt>
                <c:pt idx="5">
                  <c:v>1.6759999999999999</c:v>
                </c:pt>
                <c:pt idx="6">
                  <c:v>1.7729999999999999</c:v>
                </c:pt>
                <c:pt idx="7">
                  <c:v>1.8680000000000001</c:v>
                </c:pt>
                <c:pt idx="8">
                  <c:v>2.028</c:v>
                </c:pt>
                <c:pt idx="9">
                  <c:v>2.1309999999999998</c:v>
                </c:pt>
                <c:pt idx="10">
                  <c:v>2.34</c:v>
                </c:pt>
                <c:pt idx="11">
                  <c:v>2.4300000000000002</c:v>
                </c:pt>
                <c:pt idx="12">
                  <c:v>2.4900000000000002</c:v>
                </c:pt>
                <c:pt idx="13">
                  <c:v>2.56</c:v>
                </c:pt>
                <c:pt idx="14">
                  <c:v>2.73</c:v>
                </c:pt>
                <c:pt idx="15">
                  <c:v>2.82</c:v>
                </c:pt>
                <c:pt idx="16">
                  <c:v>2.95</c:v>
                </c:pt>
                <c:pt idx="17">
                  <c:v>3.07</c:v>
                </c:pt>
                <c:pt idx="18">
                  <c:v>3.15</c:v>
                </c:pt>
              </c:numCache>
            </c:numRef>
          </c:xVal>
          <c:yVal>
            <c:numRef>
              <c:f>'Error correction iteration1'!$E$3:$E$21</c:f>
              <c:numCache>
                <c:formatCode>General</c:formatCode>
                <c:ptCount val="19"/>
                <c:pt idx="0">
                  <c:v>0.05</c:v>
                </c:pt>
                <c:pt idx="1">
                  <c:v>1.08</c:v>
                </c:pt>
                <c:pt idx="2">
                  <c:v>1.1200000000000001</c:v>
                </c:pt>
                <c:pt idx="3">
                  <c:v>1.18</c:v>
                </c:pt>
                <c:pt idx="4">
                  <c:v>1.29</c:v>
                </c:pt>
                <c:pt idx="5">
                  <c:v>1.78</c:v>
                </c:pt>
                <c:pt idx="6">
                  <c:v>1.86</c:v>
                </c:pt>
                <c:pt idx="7">
                  <c:v>1.95</c:v>
                </c:pt>
                <c:pt idx="8">
                  <c:v>2.13</c:v>
                </c:pt>
                <c:pt idx="9">
                  <c:v>2.25</c:v>
                </c:pt>
                <c:pt idx="10">
                  <c:v>2.4700000000000002</c:v>
                </c:pt>
                <c:pt idx="11">
                  <c:v>2.57</c:v>
                </c:pt>
                <c:pt idx="12">
                  <c:v>2.64</c:v>
                </c:pt>
                <c:pt idx="13">
                  <c:v>2.73</c:v>
                </c:pt>
                <c:pt idx="14">
                  <c:v>2.92</c:v>
                </c:pt>
                <c:pt idx="15">
                  <c:v>3.01</c:v>
                </c:pt>
                <c:pt idx="16">
                  <c:v>3.15</c:v>
                </c:pt>
                <c:pt idx="17">
                  <c:v>3.27</c:v>
                </c:pt>
                <c:pt idx="18">
                  <c:v>3.39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9B-5D4D-BA5B-29E634F61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742848"/>
        <c:axId val="543740064"/>
      </c:scatterChart>
      <c:valAx>
        <c:axId val="76674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740064"/>
        <c:crosses val="autoZero"/>
        <c:crossBetween val="midCat"/>
      </c:valAx>
      <c:valAx>
        <c:axId val="54374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74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Iout error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'Error correction iteration1'!$C$3:$C$21</c:f>
              <c:numCache>
                <c:formatCode>General</c:formatCode>
                <c:ptCount val="19"/>
                <c:pt idx="0">
                  <c:v>0</c:v>
                </c:pt>
                <c:pt idx="1">
                  <c:v>0.1023</c:v>
                </c:pt>
                <c:pt idx="2">
                  <c:v>0.10630000000000001</c:v>
                </c:pt>
                <c:pt idx="3">
                  <c:v>0.1119</c:v>
                </c:pt>
                <c:pt idx="4">
                  <c:v>0.1217</c:v>
                </c:pt>
                <c:pt idx="5">
                  <c:v>0.1661</c:v>
                </c:pt>
                <c:pt idx="6">
                  <c:v>0.1757</c:v>
                </c:pt>
                <c:pt idx="7">
                  <c:v>0.18509999999999999</c:v>
                </c:pt>
                <c:pt idx="8">
                  <c:v>0.20100000000000001</c:v>
                </c:pt>
                <c:pt idx="9">
                  <c:v>0.21110000000000001</c:v>
                </c:pt>
                <c:pt idx="10">
                  <c:v>0.2321</c:v>
                </c:pt>
                <c:pt idx="11">
                  <c:v>0.2419</c:v>
                </c:pt>
                <c:pt idx="12">
                  <c:v>0.24759999999999999</c:v>
                </c:pt>
                <c:pt idx="13">
                  <c:v>0.25459999999999999</c:v>
                </c:pt>
                <c:pt idx="14">
                  <c:v>0.27089999999999997</c:v>
                </c:pt>
                <c:pt idx="15">
                  <c:v>0.28010000000000002</c:v>
                </c:pt>
                <c:pt idx="16">
                  <c:v>0.29270000000000002</c:v>
                </c:pt>
                <c:pt idx="17">
                  <c:v>0.30470000000000003</c:v>
                </c:pt>
                <c:pt idx="18">
                  <c:v>0.31309999999999999</c:v>
                </c:pt>
              </c:numCache>
            </c:numRef>
          </c:xVal>
          <c:yVal>
            <c:numRef>
              <c:f>'Error correction iteration1'!$F$3:$F$21</c:f>
              <c:numCache>
                <c:formatCode>General</c:formatCode>
                <c:ptCount val="19"/>
                <c:pt idx="0">
                  <c:v>8.9999999999999993E-3</c:v>
                </c:pt>
                <c:pt idx="1">
                  <c:v>0.112</c:v>
                </c:pt>
                <c:pt idx="2">
                  <c:v>0.11600000000000001</c:v>
                </c:pt>
                <c:pt idx="3">
                  <c:v>0.12</c:v>
                </c:pt>
                <c:pt idx="4">
                  <c:v>0.13</c:v>
                </c:pt>
                <c:pt idx="5">
                  <c:v>0.17599999999999999</c:v>
                </c:pt>
                <c:pt idx="6">
                  <c:v>0.186</c:v>
                </c:pt>
                <c:pt idx="7">
                  <c:v>0.19500000000000001</c:v>
                </c:pt>
                <c:pt idx="8">
                  <c:v>0.21099999999999999</c:v>
                </c:pt>
                <c:pt idx="9">
                  <c:v>0.222</c:v>
                </c:pt>
                <c:pt idx="10">
                  <c:v>0.24199999999999999</c:v>
                </c:pt>
                <c:pt idx="11">
                  <c:v>0.252</c:v>
                </c:pt>
                <c:pt idx="12">
                  <c:v>0.255</c:v>
                </c:pt>
                <c:pt idx="13">
                  <c:v>0.26600000000000001</c:v>
                </c:pt>
                <c:pt idx="14">
                  <c:v>0.28000000000000003</c:v>
                </c:pt>
                <c:pt idx="15">
                  <c:v>0.29099999999999998</c:v>
                </c:pt>
                <c:pt idx="16">
                  <c:v>0.30399999999999999</c:v>
                </c:pt>
                <c:pt idx="17">
                  <c:v>0.31</c:v>
                </c:pt>
                <c:pt idx="18">
                  <c:v>0.32500000000000001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18-9A4E-9361-EB4626EE1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742848"/>
        <c:axId val="543740064"/>
      </c:scatterChart>
      <c:valAx>
        <c:axId val="76674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740064"/>
        <c:crosses val="autoZero"/>
        <c:crossBetween val="midCat"/>
      </c:valAx>
      <c:valAx>
        <c:axId val="54374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74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14</xdr:row>
      <xdr:rowOff>184150</xdr:rowOff>
    </xdr:from>
    <xdr:to>
      <xdr:col>6</xdr:col>
      <xdr:colOff>317500</xdr:colOff>
      <xdr:row>38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0A836F-8509-E87F-3A3F-D31D62E43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482600</xdr:colOff>
      <xdr:row>15</xdr:row>
      <xdr:rowOff>0</xdr:rowOff>
    </xdr:from>
    <xdr:to>
      <xdr:col>12</xdr:col>
      <xdr:colOff>381000</xdr:colOff>
      <xdr:row>38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4BE701-82A0-1D44-B5E0-D7D069664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144317</xdr:colOff>
      <xdr:row>23</xdr:row>
      <xdr:rowOff>77352</xdr:rowOff>
    </xdr:from>
    <xdr:to>
      <xdr:col>7</xdr:col>
      <xdr:colOff>380999</xdr:colOff>
      <xdr:row>45</xdr:row>
      <xdr:rowOff>34635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0260D7-5135-92CA-DCC8-55E4EC694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15</xdr:col>
      <xdr:colOff>236682</xdr:colOff>
      <xdr:row>44</xdr:row>
      <xdr:rowOff>153556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A87C15-C4A5-B744-8626-379EF0900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23</xdr:row>
      <xdr:rowOff>0</xdr:rowOff>
    </xdr:from>
    <xdr:to>
      <xdr:col>23</xdr:col>
      <xdr:colOff>236682</xdr:colOff>
      <xdr:row>44</xdr:row>
      <xdr:rowOff>153556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50AEED-B5D8-B444-AF7B-715D91D2F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1B7E4-F749-DE47-B069-A82C226D1EF9}">
  <dimension ref="A1:V41"/>
  <sheetViews>
    <sheetView zoomScale="110" zoomScaleNormal="110" workbookViewId="0">
      <selection activeCell="P29" sqref="P29"/>
    </sheetView>
  </sheetViews>
  <sheetFormatPr baseColWidth="10" defaultRowHeight="15" x14ac:dyDescent="0.2"/>
  <sheetData>
    <row r="1" spans="1:22" x14ac:dyDescent="0.2">
      <c r="A1" s="4" t="s">
        <v>0</v>
      </c>
      <c r="B1" s="4"/>
      <c r="C1" s="4"/>
      <c r="D1" s="4" t="s">
        <v>1</v>
      </c>
      <c r="E1" s="4"/>
      <c r="F1" s="4"/>
      <c r="G1" s="4"/>
      <c r="H1" s="4"/>
      <c r="I1" s="4"/>
      <c r="J1" s="4" t="s">
        <v>10</v>
      </c>
      <c r="K1" s="4"/>
      <c r="L1" s="4"/>
      <c r="M1" s="4"/>
      <c r="N1" s="4"/>
      <c r="O1" s="4"/>
      <c r="P1" s="4" t="s">
        <v>18</v>
      </c>
      <c r="Q1" s="4"/>
      <c r="R1" s="4"/>
      <c r="S1" s="4"/>
      <c r="T1" s="4"/>
      <c r="U1" s="4"/>
      <c r="V1" s="1"/>
    </row>
    <row r="2" spans="1:22" x14ac:dyDescent="0.2">
      <c r="A2" s="2" t="s">
        <v>2</v>
      </c>
      <c r="B2" s="2" t="s">
        <v>3</v>
      </c>
      <c r="C2" s="2" t="s">
        <v>15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16</v>
      </c>
      <c r="O2" s="2" t="s">
        <v>17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1"/>
    </row>
    <row r="3" spans="1:22" x14ac:dyDescent="0.2">
      <c r="A3" s="2">
        <v>0</v>
      </c>
      <c r="B3" s="2">
        <v>0</v>
      </c>
      <c r="C3" s="2">
        <v>0</v>
      </c>
      <c r="D3" s="2">
        <v>9202</v>
      </c>
      <c r="E3" s="2">
        <v>304</v>
      </c>
      <c r="F3" s="2">
        <v>192</v>
      </c>
      <c r="G3" s="2">
        <v>2.31</v>
      </c>
      <c r="H3" s="2">
        <v>0.08</v>
      </c>
      <c r="I3" s="2">
        <f>0.05*0.2</f>
        <v>1.0000000000000002E-2</v>
      </c>
      <c r="J3" s="2">
        <f t="shared" ref="J3:J13" si="0">G3-A3</f>
        <v>2.31</v>
      </c>
      <c r="K3" s="2" t="e">
        <f t="shared" ref="K3:K13" si="1">(G3-A3)/A3</f>
        <v>#DIV/0!</v>
      </c>
      <c r="L3" s="2">
        <f t="shared" ref="L3:L13" si="2">H3-B3</f>
        <v>0.08</v>
      </c>
      <c r="M3" s="2" t="e">
        <f t="shared" ref="M3:M13" si="3">L3/B3</f>
        <v>#DIV/0!</v>
      </c>
      <c r="N3" s="2">
        <f t="shared" ref="N3:N12" si="4">I3-C3</f>
        <v>1.0000000000000002E-2</v>
      </c>
      <c r="O3" s="2" t="e">
        <f t="shared" ref="O3:O12" si="5">N3/C3</f>
        <v>#DIV/0!</v>
      </c>
      <c r="P3" s="2">
        <f>G3/0.968</f>
        <v>2.3863636363636367</v>
      </c>
      <c r="Q3" s="2" t="e">
        <f>(P3-A3)/A3</f>
        <v>#DIV/0!</v>
      </c>
      <c r="R3" s="2">
        <f t="shared" ref="R3:R12" si="6">(H3-0.1271)/1.0354</f>
        <v>-4.5489665829631043E-2</v>
      </c>
      <c r="S3" s="2" t="e">
        <f t="shared" ref="S3:S12" si="7">(R3-B3)/B3</f>
        <v>#DIV/0!</v>
      </c>
      <c r="T3" s="2"/>
      <c r="U3" s="2"/>
      <c r="V3" s="1"/>
    </row>
    <row r="4" spans="1:22" x14ac:dyDescent="0.2">
      <c r="A4" s="2">
        <v>10.08</v>
      </c>
      <c r="B4" s="2">
        <v>2.69</v>
      </c>
      <c r="C4" s="2">
        <v>0.26300000000000001</v>
      </c>
      <c r="D4" s="2">
        <v>38953</v>
      </c>
      <c r="E4" s="2">
        <v>11666</v>
      </c>
      <c r="F4" s="2">
        <v>5569</v>
      </c>
      <c r="G4" s="2">
        <v>9.77</v>
      </c>
      <c r="H4" s="2">
        <v>2.95</v>
      </c>
      <c r="I4" s="2">
        <f>1.37*0.2</f>
        <v>0.27400000000000002</v>
      </c>
      <c r="J4" s="2">
        <f t="shared" si="0"/>
        <v>-0.3100000000000005</v>
      </c>
      <c r="K4" s="2">
        <f t="shared" si="1"/>
        <v>-3.0753968253968304E-2</v>
      </c>
      <c r="L4" s="2">
        <f t="shared" si="2"/>
        <v>0.26000000000000023</v>
      </c>
      <c r="M4" s="2">
        <f t="shared" si="3"/>
        <v>9.6654275092936892E-2</v>
      </c>
      <c r="N4" s="2">
        <f t="shared" si="4"/>
        <v>1.100000000000001E-2</v>
      </c>
      <c r="O4" s="2">
        <f t="shared" si="5"/>
        <v>4.1825095057034259E-2</v>
      </c>
      <c r="P4" s="2">
        <f t="shared" ref="P4:P12" si="8">G4/0.968</f>
        <v>10.09297520661157</v>
      </c>
      <c r="Q4" s="2">
        <f t="shared" ref="Q4:Q12" si="9">(P4-A4)/A4</f>
        <v>1.2872228781319038E-3</v>
      </c>
      <c r="R4" s="2">
        <f t="shared" si="6"/>
        <v>2.7263859378018158</v>
      </c>
      <c r="S4" s="2">
        <f t="shared" si="7"/>
        <v>1.3526370930043075E-2</v>
      </c>
      <c r="T4" s="2"/>
      <c r="U4" s="2"/>
      <c r="V4" s="1"/>
    </row>
    <row r="5" spans="1:22" x14ac:dyDescent="0.2">
      <c r="A5" s="2">
        <v>8.6</v>
      </c>
      <c r="B5" s="2">
        <v>2.27</v>
      </c>
      <c r="C5" s="2">
        <v>0.223</v>
      </c>
      <c r="D5" s="2">
        <v>33000</v>
      </c>
      <c r="E5" s="2">
        <v>9874</v>
      </c>
      <c r="F5" s="2">
        <v>4753</v>
      </c>
      <c r="G5" s="2">
        <v>8.31</v>
      </c>
      <c r="H5" s="2">
        <v>2.48</v>
      </c>
      <c r="I5" s="2">
        <f>1.16*0.2</f>
        <v>0.23199999999999998</v>
      </c>
      <c r="J5" s="2">
        <f t="shared" si="0"/>
        <v>-0.28999999999999915</v>
      </c>
      <c r="K5" s="2">
        <f t="shared" si="1"/>
        <v>-3.3720930232558038E-2</v>
      </c>
      <c r="L5" s="2">
        <f t="shared" si="2"/>
        <v>0.20999999999999996</v>
      </c>
      <c r="M5" s="2">
        <f t="shared" si="3"/>
        <v>9.2511013215859014E-2</v>
      </c>
      <c r="N5" s="2">
        <f t="shared" si="4"/>
        <v>8.9999999999999802E-3</v>
      </c>
      <c r="O5" s="2">
        <f t="shared" si="5"/>
        <v>4.0358744394618742E-2</v>
      </c>
      <c r="P5" s="2">
        <f t="shared" si="8"/>
        <v>8.5847107438016543</v>
      </c>
      <c r="Q5" s="2">
        <f t="shared" si="9"/>
        <v>-1.7778204881796877E-3</v>
      </c>
      <c r="R5" s="2">
        <f t="shared" si="6"/>
        <v>2.272455089820359</v>
      </c>
      <c r="S5" s="2">
        <f t="shared" si="7"/>
        <v>1.0815373657969271E-3</v>
      </c>
      <c r="T5" s="2"/>
      <c r="U5" s="2"/>
      <c r="V5" s="1"/>
    </row>
    <row r="6" spans="1:22" x14ac:dyDescent="0.2">
      <c r="A6" s="2">
        <v>6.47</v>
      </c>
      <c r="B6" s="2">
        <v>1.6739999999999999</v>
      </c>
      <c r="C6" s="2">
        <v>0.16300000000000001</v>
      </c>
      <c r="D6" s="2">
        <v>24800</v>
      </c>
      <c r="E6" s="2">
        <v>7500</v>
      </c>
      <c r="F6" s="2">
        <v>3520</v>
      </c>
      <c r="G6" s="2">
        <v>6.25</v>
      </c>
      <c r="H6" s="2">
        <v>1.88</v>
      </c>
      <c r="I6" s="2">
        <f>0.87*0.2</f>
        <v>0.17400000000000002</v>
      </c>
      <c r="J6" s="2">
        <f t="shared" si="0"/>
        <v>-0.21999999999999975</v>
      </c>
      <c r="K6" s="2">
        <f t="shared" si="1"/>
        <v>-3.4003091190108158E-2</v>
      </c>
      <c r="L6" s="2">
        <f t="shared" si="2"/>
        <v>0.20599999999999996</v>
      </c>
      <c r="M6" s="2">
        <f t="shared" si="3"/>
        <v>0.1230585424133811</v>
      </c>
      <c r="N6" s="2">
        <f t="shared" si="4"/>
        <v>1.100000000000001E-2</v>
      </c>
      <c r="O6" s="2">
        <f t="shared" si="5"/>
        <v>6.7484662576687171E-2</v>
      </c>
      <c r="P6" s="2">
        <f t="shared" si="8"/>
        <v>6.4566115702479339</v>
      </c>
      <c r="Q6" s="2">
        <f t="shared" si="9"/>
        <v>-2.0693090806902458E-3</v>
      </c>
      <c r="R6" s="2">
        <f t="shared" si="6"/>
        <v>1.6929689009078615</v>
      </c>
      <c r="S6" s="2">
        <f t="shared" si="7"/>
        <v>1.1331482023812138E-2</v>
      </c>
      <c r="T6" s="2"/>
      <c r="U6" s="2"/>
      <c r="V6" s="1"/>
    </row>
    <row r="7" spans="1:22" x14ac:dyDescent="0.2">
      <c r="A7" s="2">
        <v>5.57</v>
      </c>
      <c r="B7" s="2">
        <v>1.4179999999999999</v>
      </c>
      <c r="C7" s="2">
        <v>0.13800000000000001</v>
      </c>
      <c r="D7" s="2">
        <v>21500</v>
      </c>
      <c r="E7" s="2">
        <v>6369</v>
      </c>
      <c r="F7" s="2">
        <v>3000</v>
      </c>
      <c r="G7" s="2">
        <v>5.44</v>
      </c>
      <c r="H7" s="2">
        <v>1.6</v>
      </c>
      <c r="I7" s="2">
        <f>0.73*0.2</f>
        <v>0.14599999999999999</v>
      </c>
      <c r="J7" s="2">
        <f t="shared" si="0"/>
        <v>-0.12999999999999989</v>
      </c>
      <c r="K7" s="2">
        <f t="shared" si="1"/>
        <v>-2.3339317773788129E-2</v>
      </c>
      <c r="L7" s="2">
        <f t="shared" si="2"/>
        <v>0.18200000000000016</v>
      </c>
      <c r="M7" s="2">
        <f t="shared" si="3"/>
        <v>0.1283497884344148</v>
      </c>
      <c r="N7" s="2">
        <f t="shared" si="4"/>
        <v>7.9999999999999793E-3</v>
      </c>
      <c r="O7" s="2">
        <f t="shared" si="5"/>
        <v>5.7971014492753471E-2</v>
      </c>
      <c r="P7" s="2">
        <f t="shared" si="8"/>
        <v>5.6198347107438025</v>
      </c>
      <c r="Q7" s="2">
        <f t="shared" si="9"/>
        <v>8.9469857708801056E-3</v>
      </c>
      <c r="R7" s="2">
        <f t="shared" si="6"/>
        <v>1.4225420127486961</v>
      </c>
      <c r="S7" s="2">
        <f t="shared" si="7"/>
        <v>3.2031119525360685E-3</v>
      </c>
      <c r="T7" s="2"/>
      <c r="U7" s="2"/>
      <c r="V7" s="1"/>
    </row>
    <row r="8" spans="1:22" x14ac:dyDescent="0.2">
      <c r="A8" s="2">
        <v>5.85</v>
      </c>
      <c r="B8" s="2">
        <v>1.498</v>
      </c>
      <c r="C8" s="2">
        <v>0.14599999999999999</v>
      </c>
      <c r="D8" s="2">
        <v>22660</v>
      </c>
      <c r="E8" s="2">
        <v>6700</v>
      </c>
      <c r="F8" s="2">
        <v>3168</v>
      </c>
      <c r="G8" s="2">
        <v>5.69</v>
      </c>
      <c r="H8" s="2">
        <v>1.68</v>
      </c>
      <c r="I8" s="2">
        <v>0.77</v>
      </c>
      <c r="J8" s="2">
        <f t="shared" si="0"/>
        <v>-0.15999999999999925</v>
      </c>
      <c r="K8" s="2">
        <f t="shared" si="1"/>
        <v>-2.7350427350427226E-2</v>
      </c>
      <c r="L8" s="2">
        <f t="shared" si="2"/>
        <v>0.18199999999999994</v>
      </c>
      <c r="M8" s="2">
        <f t="shared" si="3"/>
        <v>0.1214953271028037</v>
      </c>
      <c r="N8" s="2">
        <f t="shared" si="4"/>
        <v>0.624</v>
      </c>
      <c r="O8" s="2">
        <f t="shared" si="5"/>
        <v>4.2739726027397262</v>
      </c>
      <c r="P8" s="2">
        <f t="shared" si="8"/>
        <v>5.8780991735537196</v>
      </c>
      <c r="Q8" s="2">
        <f t="shared" si="9"/>
        <v>4.8032775305504169E-3</v>
      </c>
      <c r="R8" s="2">
        <f t="shared" si="6"/>
        <v>1.4998068379370291</v>
      </c>
      <c r="S8" s="2">
        <f t="shared" si="7"/>
        <v>1.2061668471489125E-3</v>
      </c>
      <c r="T8" s="2"/>
      <c r="U8" s="2"/>
      <c r="V8" s="1"/>
    </row>
    <row r="9" spans="1:22" x14ac:dyDescent="0.2">
      <c r="A9" s="2">
        <v>4.54</v>
      </c>
      <c r="B9" s="2">
        <v>1.1116999999999999</v>
      </c>
      <c r="C9" s="2">
        <v>0.109</v>
      </c>
      <c r="D9" s="2">
        <v>17556</v>
      </c>
      <c r="E9" s="2">
        <v>5089</v>
      </c>
      <c r="F9" s="2">
        <v>2384</v>
      </c>
      <c r="G9" s="2">
        <v>4.42</v>
      </c>
      <c r="H9" s="2">
        <v>1.27</v>
      </c>
      <c r="I9" s="2">
        <f>0.6*0.2</f>
        <v>0.12</v>
      </c>
      <c r="J9" s="2">
        <f t="shared" si="0"/>
        <v>-0.12000000000000011</v>
      </c>
      <c r="K9" s="2">
        <f t="shared" si="1"/>
        <v>-2.643171806167403E-2</v>
      </c>
      <c r="L9" s="2">
        <f t="shared" si="2"/>
        <v>0.15830000000000011</v>
      </c>
      <c r="M9" s="2">
        <f t="shared" si="3"/>
        <v>0.14239453089862383</v>
      </c>
      <c r="N9" s="2">
        <f t="shared" si="4"/>
        <v>1.0999999999999996E-2</v>
      </c>
      <c r="O9" s="2">
        <f t="shared" si="5"/>
        <v>0.10091743119266051</v>
      </c>
      <c r="P9" s="2">
        <f t="shared" si="8"/>
        <v>4.5661157024793386</v>
      </c>
      <c r="Q9" s="2">
        <f t="shared" si="9"/>
        <v>5.7523573743036537E-3</v>
      </c>
      <c r="R9" s="2">
        <f t="shared" si="6"/>
        <v>1.1038246088468224</v>
      </c>
      <c r="S9" s="2">
        <f t="shared" si="7"/>
        <v>-7.0840974662026452E-3</v>
      </c>
      <c r="T9" s="2"/>
      <c r="U9" s="2"/>
      <c r="V9" s="1"/>
    </row>
    <row r="10" spans="1:22" x14ac:dyDescent="0.2">
      <c r="A10" s="2">
        <v>3.37</v>
      </c>
      <c r="B10" s="2">
        <v>0</v>
      </c>
      <c r="C10" s="2">
        <v>0</v>
      </c>
      <c r="D10" s="2">
        <v>13059</v>
      </c>
      <c r="E10" s="2">
        <v>304</v>
      </c>
      <c r="F10" s="2">
        <v>192</v>
      </c>
      <c r="G10" s="2">
        <v>3.29</v>
      </c>
      <c r="H10" s="2">
        <v>0.08</v>
      </c>
      <c r="I10" s="2">
        <v>0.05</v>
      </c>
      <c r="J10" s="2">
        <f t="shared" si="0"/>
        <v>-8.0000000000000071E-2</v>
      </c>
      <c r="K10" s="2">
        <f t="shared" si="1"/>
        <v>-2.3738872403560853E-2</v>
      </c>
      <c r="L10" s="2">
        <f t="shared" si="2"/>
        <v>0.08</v>
      </c>
      <c r="M10" s="2" t="e">
        <f t="shared" si="3"/>
        <v>#DIV/0!</v>
      </c>
      <c r="N10" s="2">
        <f t="shared" si="4"/>
        <v>0.05</v>
      </c>
      <c r="O10" s="2" t="e">
        <f t="shared" si="5"/>
        <v>#DIV/0!</v>
      </c>
      <c r="P10" s="2">
        <f t="shared" si="8"/>
        <v>3.3987603305785123</v>
      </c>
      <c r="Q10" s="2">
        <f t="shared" si="9"/>
        <v>8.5342227235941353E-3</v>
      </c>
      <c r="R10" s="2">
        <f t="shared" si="6"/>
        <v>-4.5489665829631043E-2</v>
      </c>
      <c r="S10" s="2" t="e">
        <f t="shared" si="7"/>
        <v>#DIV/0!</v>
      </c>
      <c r="T10" s="2"/>
      <c r="U10" s="2"/>
      <c r="V10" s="1"/>
    </row>
    <row r="11" spans="1:22" x14ac:dyDescent="0.2">
      <c r="A11" s="2">
        <v>9.56</v>
      </c>
      <c r="B11" s="2">
        <v>2.5499999999999998</v>
      </c>
      <c r="C11" s="2">
        <v>0.249</v>
      </c>
      <c r="D11" s="2">
        <v>36700</v>
      </c>
      <c r="E11" s="2">
        <v>11040</v>
      </c>
      <c r="F11" s="2">
        <v>5281</v>
      </c>
      <c r="G11" s="2">
        <v>9.1999999999999993</v>
      </c>
      <c r="H11" s="2">
        <v>2.78</v>
      </c>
      <c r="I11" s="2">
        <f>1.28*0.2</f>
        <v>0.25600000000000001</v>
      </c>
      <c r="J11" s="2">
        <f t="shared" si="0"/>
        <v>-0.36000000000000121</v>
      </c>
      <c r="K11" s="2">
        <f t="shared" si="1"/>
        <v>-3.7656903765690503E-2</v>
      </c>
      <c r="L11" s="2">
        <f t="shared" si="2"/>
        <v>0.22999999999999998</v>
      </c>
      <c r="M11" s="2">
        <f t="shared" si="3"/>
        <v>9.0196078431372548E-2</v>
      </c>
      <c r="N11" s="2">
        <f t="shared" si="4"/>
        <v>7.0000000000000062E-3</v>
      </c>
      <c r="O11" s="2">
        <f t="shared" si="5"/>
        <v>2.8112449799196811E-2</v>
      </c>
      <c r="P11" s="2">
        <f t="shared" si="8"/>
        <v>9.5041322314049577</v>
      </c>
      <c r="Q11" s="2">
        <f t="shared" si="9"/>
        <v>-5.8439088488538527E-3</v>
      </c>
      <c r="R11" s="2">
        <f t="shared" si="6"/>
        <v>2.5621981842766077</v>
      </c>
      <c r="S11" s="2">
        <f t="shared" si="7"/>
        <v>4.7836016771011392E-3</v>
      </c>
      <c r="T11" s="2"/>
      <c r="U11" s="2"/>
      <c r="V11" s="1"/>
    </row>
    <row r="12" spans="1:22" x14ac:dyDescent="0.2">
      <c r="A12" s="2">
        <v>12.16</v>
      </c>
      <c r="B12" s="2">
        <v>3.28</v>
      </c>
      <c r="C12" s="2">
        <v>0.32100000000000001</v>
      </c>
      <c r="D12" s="2">
        <v>47000</v>
      </c>
      <c r="E12" s="2">
        <v>14179</v>
      </c>
      <c r="F12" s="2">
        <v>6753</v>
      </c>
      <c r="G12" s="2">
        <v>11.77</v>
      </c>
      <c r="H12" s="2">
        <v>3.58</v>
      </c>
      <c r="I12" s="2">
        <f>1.64*0.2</f>
        <v>0.32800000000000001</v>
      </c>
      <c r="J12" s="2">
        <f t="shared" si="0"/>
        <v>-0.39000000000000057</v>
      </c>
      <c r="K12" s="2">
        <f t="shared" si="1"/>
        <v>-3.2072368421052676E-2</v>
      </c>
      <c r="L12" s="2">
        <f t="shared" si="2"/>
        <v>0.30000000000000027</v>
      </c>
      <c r="M12" s="2">
        <f t="shared" si="3"/>
        <v>9.1463414634146423E-2</v>
      </c>
      <c r="N12" s="2">
        <f t="shared" si="4"/>
        <v>7.0000000000000062E-3</v>
      </c>
      <c r="O12" s="2">
        <f t="shared" si="5"/>
        <v>2.1806853582554537E-2</v>
      </c>
      <c r="P12" s="2">
        <f t="shared" si="8"/>
        <v>12.159090909090908</v>
      </c>
      <c r="Q12" s="2">
        <f t="shared" si="9"/>
        <v>-7.4760765550317321E-5</v>
      </c>
      <c r="R12" s="2">
        <f t="shared" si="6"/>
        <v>3.3348464361599381</v>
      </c>
      <c r="S12" s="2">
        <f t="shared" si="7"/>
        <v>1.6721474439005592E-2</v>
      </c>
      <c r="T12" s="2"/>
      <c r="U12" s="2"/>
      <c r="V12" s="1"/>
    </row>
    <row r="13" spans="1:22" ht="17" hidden="1" customHeight="1" x14ac:dyDescent="0.2">
      <c r="A13" s="3">
        <v>0</v>
      </c>
      <c r="B13" s="3">
        <v>0</v>
      </c>
      <c r="C13" s="1"/>
      <c r="D13" s="1"/>
      <c r="E13" s="1"/>
      <c r="F13" s="1"/>
      <c r="G13" s="3">
        <v>0</v>
      </c>
      <c r="H13" s="3">
        <v>0</v>
      </c>
      <c r="I13" s="1"/>
      <c r="J13" s="3">
        <f t="shared" si="0"/>
        <v>0</v>
      </c>
      <c r="K13" s="3" t="e">
        <f t="shared" si="1"/>
        <v>#DIV/0!</v>
      </c>
      <c r="L13" s="3">
        <f t="shared" si="2"/>
        <v>0</v>
      </c>
      <c r="M13" s="3" t="e">
        <f t="shared" si="3"/>
        <v>#DIV/0!</v>
      </c>
      <c r="N13" s="1"/>
      <c r="O13" s="1"/>
      <c r="P13" s="1"/>
      <c r="Q13" s="1"/>
      <c r="R13" s="1"/>
      <c r="S13" s="1"/>
      <c r="T13" s="1"/>
      <c r="U13" s="1"/>
      <c r="V13" s="1"/>
    </row>
    <row r="14" spans="1:22" ht="17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</sheetData>
  <mergeCells count="4">
    <mergeCell ref="A1:C1"/>
    <mergeCell ref="D1:I1"/>
    <mergeCell ref="J1:O1"/>
    <mergeCell ref="P1:U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7D13-DC72-7D47-B758-0605F0CE48C2}">
  <dimension ref="A1:V41"/>
  <sheetViews>
    <sheetView tabSelected="1" zoomScale="110" zoomScaleNormal="110" workbookViewId="0">
      <selection activeCell="T19" sqref="T19"/>
    </sheetView>
  </sheetViews>
  <sheetFormatPr baseColWidth="10" defaultRowHeight="15" x14ac:dyDescent="0.2"/>
  <sheetData>
    <row r="1" spans="1:22" x14ac:dyDescent="0.2">
      <c r="A1" s="4" t="s">
        <v>0</v>
      </c>
      <c r="B1" s="4"/>
      <c r="C1" s="4"/>
      <c r="D1" s="5" t="s">
        <v>1</v>
      </c>
      <c r="E1" s="6"/>
      <c r="F1" s="7"/>
      <c r="G1" s="5" t="s">
        <v>10</v>
      </c>
      <c r="H1" s="6"/>
      <c r="I1" s="6"/>
      <c r="J1" s="6"/>
      <c r="K1" s="6"/>
      <c r="L1" s="7"/>
      <c r="M1" s="4" t="s">
        <v>18</v>
      </c>
      <c r="N1" s="4"/>
      <c r="O1" s="4"/>
      <c r="P1" s="4"/>
      <c r="Q1" s="4"/>
      <c r="R1" s="4"/>
      <c r="S1" s="8"/>
      <c r="T1" s="8"/>
      <c r="U1" s="8"/>
      <c r="V1" s="1"/>
    </row>
    <row r="2" spans="1:22" x14ac:dyDescent="0.2">
      <c r="A2" s="2" t="s">
        <v>2</v>
      </c>
      <c r="B2" s="2" t="s">
        <v>3</v>
      </c>
      <c r="C2" s="2" t="s">
        <v>15</v>
      </c>
      <c r="D2" s="2" t="s">
        <v>7</v>
      </c>
      <c r="E2" s="2" t="s">
        <v>8</v>
      </c>
      <c r="F2" s="2" t="s">
        <v>9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16</v>
      </c>
      <c r="L2" s="2" t="s">
        <v>17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1"/>
    </row>
    <row r="3" spans="1:22" x14ac:dyDescent="0.2">
      <c r="A3" s="2">
        <v>3.77</v>
      </c>
      <c r="B3" s="2">
        <v>0</v>
      </c>
      <c r="C3" s="2">
        <v>0</v>
      </c>
      <c r="D3" s="2">
        <v>3.8</v>
      </c>
      <c r="E3" s="2">
        <v>0.05</v>
      </c>
      <c r="F3" s="2">
        <v>8.9999999999999993E-3</v>
      </c>
      <c r="G3" s="2">
        <f>D3-A3</f>
        <v>2.9999999999999805E-2</v>
      </c>
      <c r="H3" s="2">
        <f>(D3-A3)/A3</f>
        <v>7.9575596816975607E-3</v>
      </c>
      <c r="I3" s="2">
        <f>E3-B3</f>
        <v>0.05</v>
      </c>
      <c r="J3" s="2" t="e">
        <f>I3/B3</f>
        <v>#DIV/0!</v>
      </c>
      <c r="K3" s="2">
        <f>F3-C3</f>
        <v>8.9999999999999993E-3</v>
      </c>
      <c r="L3" s="2" t="e">
        <f>K3/C3</f>
        <v>#DIV/0!</v>
      </c>
      <c r="M3" s="2">
        <f>(D3-0.066)/0.9911</f>
        <v>3.7675310261325801</v>
      </c>
      <c r="N3" s="2">
        <f>ABS(M3-A3)/A3</f>
        <v>6.5490023008486862E-4</v>
      </c>
      <c r="O3" s="2">
        <f>(E3+0.0118)/1.0672</f>
        <v>5.7908545727136433E-2</v>
      </c>
      <c r="P3" s="2" t="e">
        <f>ABS(O3-B3)/B3</f>
        <v>#DIV/0!</v>
      </c>
      <c r="Q3" s="2">
        <f>(F3-0.009)/1.003</f>
        <v>0</v>
      </c>
      <c r="R3" s="2" t="e">
        <f>ABS(Q3-C3)/C3</f>
        <v>#DIV/0!</v>
      </c>
      <c r="S3" s="1"/>
    </row>
    <row r="4" spans="1:22" x14ac:dyDescent="0.2">
      <c r="A4" s="2">
        <v>4.4400000000000004</v>
      </c>
      <c r="B4" s="2">
        <v>1.032</v>
      </c>
      <c r="C4" s="2">
        <v>0.1023</v>
      </c>
      <c r="D4" s="2">
        <v>4.46</v>
      </c>
      <c r="E4" s="2">
        <v>1.08</v>
      </c>
      <c r="F4" s="2">
        <v>0.112</v>
      </c>
      <c r="G4" s="2">
        <f t="shared" ref="G4:G21" si="0">D4-A4</f>
        <v>1.9999999999999574E-2</v>
      </c>
      <c r="H4" s="2">
        <f>(D4-A4)/A4</f>
        <v>4.5045045045044082E-3</v>
      </c>
      <c r="I4" s="2">
        <f>E4-B4</f>
        <v>4.8000000000000043E-2</v>
      </c>
      <c r="J4" s="2">
        <f>I4/B4</f>
        <v>4.6511627906976785E-2</v>
      </c>
      <c r="K4" s="2">
        <f>F4-C4</f>
        <v>9.7000000000000003E-3</v>
      </c>
      <c r="L4" s="2">
        <f>K4/C4</f>
        <v>9.4819159335288367E-2</v>
      </c>
      <c r="M4" s="2">
        <f t="shared" ref="M4:M21" si="1">(D4-0.066)/0.9911</f>
        <v>4.4334577741902939</v>
      </c>
      <c r="N4" s="2">
        <f t="shared" ref="N4:N21" si="2">ABS(M4-A4)/A4</f>
        <v>1.473474281465436E-3</v>
      </c>
      <c r="O4" s="2">
        <f t="shared" ref="O4:O21" si="3">(E4+0.0118)/1.0672</f>
        <v>1.0230509745127438</v>
      </c>
      <c r="P4" s="2">
        <f t="shared" ref="P4:P21" si="4">ABS(O4-B4)/B4</f>
        <v>8.6715363248606389E-3</v>
      </c>
      <c r="Q4" s="2">
        <f t="shared" ref="Q4:Q21" si="5">(F4-0.009)/1.003</f>
        <v>0.10269192422731807</v>
      </c>
      <c r="R4" s="2">
        <f t="shared" ref="R4:R21" si="6">ABS(Q4-C4)/C4</f>
        <v>3.8311263667455422E-3</v>
      </c>
      <c r="S4" s="1"/>
    </row>
    <row r="5" spans="1:22" x14ac:dyDescent="0.2">
      <c r="A5" s="2">
        <v>4.57</v>
      </c>
      <c r="B5" s="2">
        <v>1.0720000000000001</v>
      </c>
      <c r="C5" s="2">
        <v>0.10630000000000001</v>
      </c>
      <c r="D5" s="2">
        <v>4.5999999999999996</v>
      </c>
      <c r="E5" s="2">
        <v>1.1200000000000001</v>
      </c>
      <c r="F5" s="2">
        <v>0.11600000000000001</v>
      </c>
      <c r="G5" s="2">
        <f t="shared" si="0"/>
        <v>2.9999999999999361E-2</v>
      </c>
      <c r="H5" s="2">
        <f>(D5-A5)/A5</f>
        <v>6.5645514223193341E-3</v>
      </c>
      <c r="I5" s="2">
        <f>E5-B5</f>
        <v>4.8000000000000043E-2</v>
      </c>
      <c r="J5" s="2">
        <f>I5/B5</f>
        <v>4.4776119402985114E-2</v>
      </c>
      <c r="K5" s="2">
        <f>F5-C5</f>
        <v>9.7000000000000003E-3</v>
      </c>
      <c r="L5" s="2">
        <f>K5/C5</f>
        <v>9.1251175917215432E-2</v>
      </c>
      <c r="M5" s="2">
        <f t="shared" si="1"/>
        <v>4.5747149631722328</v>
      </c>
      <c r="N5" s="2">
        <f t="shared" si="2"/>
        <v>1.0317206066154316E-3</v>
      </c>
      <c r="O5" s="2">
        <f t="shared" si="3"/>
        <v>1.0605322338830587</v>
      </c>
      <c r="P5" s="2">
        <f t="shared" si="4"/>
        <v>1.0697543019534827E-2</v>
      </c>
      <c r="Q5" s="2">
        <f t="shared" si="5"/>
        <v>0.10667996011964111</v>
      </c>
      <c r="R5" s="2">
        <f t="shared" si="6"/>
        <v>3.5744131668965307E-3</v>
      </c>
      <c r="S5" s="1"/>
    </row>
    <row r="6" spans="1:22" x14ac:dyDescent="0.2">
      <c r="A6" s="2">
        <v>4.7699999999999996</v>
      </c>
      <c r="B6" s="2">
        <v>1.1279999999999999</v>
      </c>
      <c r="C6" s="2">
        <v>0.1119</v>
      </c>
      <c r="D6" s="2">
        <v>4.8</v>
      </c>
      <c r="E6" s="2">
        <v>1.18</v>
      </c>
      <c r="F6" s="2">
        <v>0.12</v>
      </c>
      <c r="G6" s="2">
        <f t="shared" si="0"/>
        <v>3.0000000000000249E-2</v>
      </c>
      <c r="H6" s="2">
        <f>(D6-A6)/A6</f>
        <v>6.2893081761006813E-3</v>
      </c>
      <c r="I6" s="2">
        <f>E6-B6</f>
        <v>5.2000000000000046E-2</v>
      </c>
      <c r="J6" s="2">
        <f>I6/B6</f>
        <v>4.609929078014189E-2</v>
      </c>
      <c r="K6" s="2">
        <f>F6-C6</f>
        <v>8.0999999999999961E-3</v>
      </c>
      <c r="L6" s="2">
        <f>K6/C6</f>
        <v>7.2386058981233209E-2</v>
      </c>
      <c r="M6" s="2">
        <f t="shared" si="1"/>
        <v>4.7765109474321461</v>
      </c>
      <c r="N6" s="2">
        <f t="shared" si="2"/>
        <v>1.3649784973053523E-3</v>
      </c>
      <c r="O6" s="2">
        <f t="shared" si="3"/>
        <v>1.1167541229385307</v>
      </c>
      <c r="P6" s="2">
        <f t="shared" si="4"/>
        <v>9.9697491679691299E-3</v>
      </c>
      <c r="Q6" s="2">
        <f t="shared" si="5"/>
        <v>0.11066799601196411</v>
      </c>
      <c r="R6" s="2">
        <f t="shared" si="6"/>
        <v>1.1009865844824706E-2</v>
      </c>
      <c r="S6" s="1"/>
    </row>
    <row r="7" spans="1:22" x14ac:dyDescent="0.2">
      <c r="A7" s="2">
        <v>5.12</v>
      </c>
      <c r="B7" s="2">
        <v>1.228</v>
      </c>
      <c r="C7" s="2">
        <v>0.1217</v>
      </c>
      <c r="D7" s="2">
        <v>5.13</v>
      </c>
      <c r="E7" s="2">
        <v>1.29</v>
      </c>
      <c r="F7" s="2">
        <v>0.13</v>
      </c>
      <c r="G7" s="2">
        <f t="shared" si="0"/>
        <v>9.9999999999997868E-3</v>
      </c>
      <c r="H7" s="2">
        <f>(D7-A7)/A7</f>
        <v>1.9531249999999584E-3</v>
      </c>
      <c r="I7" s="2">
        <f>E7-B7</f>
        <v>6.2000000000000055E-2</v>
      </c>
      <c r="J7" s="2">
        <f>I7/B7</f>
        <v>5.0488599348534245E-2</v>
      </c>
      <c r="K7" s="2">
        <f>F7-C7</f>
        <v>8.3000000000000018E-3</v>
      </c>
      <c r="L7" s="2">
        <f>K7/C7</f>
        <v>6.8200493015612179E-2</v>
      </c>
      <c r="M7" s="2">
        <f t="shared" si="1"/>
        <v>5.1094743214610032</v>
      </c>
      <c r="N7" s="2">
        <f t="shared" si="2"/>
        <v>2.0557965896478292E-3</v>
      </c>
      <c r="O7" s="2">
        <f t="shared" si="3"/>
        <v>1.2198275862068968</v>
      </c>
      <c r="P7" s="2">
        <f t="shared" si="4"/>
        <v>6.6550600921035695E-3</v>
      </c>
      <c r="Q7" s="2">
        <f t="shared" si="5"/>
        <v>0.12063808574277171</v>
      </c>
      <c r="R7" s="2">
        <f t="shared" si="6"/>
        <v>8.7256717931659105E-3</v>
      </c>
      <c r="S7" s="1"/>
    </row>
    <row r="8" spans="1:22" x14ac:dyDescent="0.2">
      <c r="A8" s="2">
        <v>6.76</v>
      </c>
      <c r="B8" s="2">
        <v>1.6759999999999999</v>
      </c>
      <c r="C8" s="2">
        <v>0.1661</v>
      </c>
      <c r="D8" s="2">
        <v>6.74</v>
      </c>
      <c r="E8" s="2">
        <v>1.78</v>
      </c>
      <c r="F8" s="2">
        <v>0.17599999999999999</v>
      </c>
      <c r="G8" s="2">
        <f t="shared" si="0"/>
        <v>-1.9999999999999574E-2</v>
      </c>
      <c r="H8" s="2">
        <f>(D8-A8)/A8</f>
        <v>-2.9585798816567418E-3</v>
      </c>
      <c r="I8" s="2">
        <f>E8-B8</f>
        <v>0.10400000000000009</v>
      </c>
      <c r="J8" s="2">
        <f>I8/B8</f>
        <v>6.2052505966587172E-2</v>
      </c>
      <c r="K8" s="2">
        <f>F8-C8</f>
        <v>9.8999999999999921E-3</v>
      </c>
      <c r="L8" s="2">
        <f>K8/C8</f>
        <v>5.9602649006622467E-2</v>
      </c>
      <c r="M8" s="2">
        <f t="shared" si="1"/>
        <v>6.7339319947533047</v>
      </c>
      <c r="N8" s="2">
        <f t="shared" si="2"/>
        <v>3.8562137938898018E-3</v>
      </c>
      <c r="O8" s="2">
        <f t="shared" si="3"/>
        <v>1.6789730134932535</v>
      </c>
      <c r="P8" s="2">
        <f t="shared" si="4"/>
        <v>1.7738743993159416E-3</v>
      </c>
      <c r="Q8" s="2">
        <f t="shared" si="5"/>
        <v>0.16650049850448653</v>
      </c>
      <c r="R8" s="2">
        <f t="shared" si="6"/>
        <v>2.4111890697563819E-3</v>
      </c>
      <c r="S8" s="1"/>
    </row>
    <row r="9" spans="1:22" x14ac:dyDescent="0.2">
      <c r="A9" s="2">
        <v>7.12</v>
      </c>
      <c r="B9" s="2">
        <v>1.7729999999999999</v>
      </c>
      <c r="C9" s="2">
        <v>0.1757</v>
      </c>
      <c r="D9" s="2">
        <v>7.08</v>
      </c>
      <c r="E9" s="2">
        <v>1.86</v>
      </c>
      <c r="F9" s="2">
        <v>0.186</v>
      </c>
      <c r="G9" s="2">
        <f t="shared" si="0"/>
        <v>-4.0000000000000036E-2</v>
      </c>
      <c r="H9" s="2">
        <f>(D9-A9)/A9</f>
        <v>-5.6179775280898927E-3</v>
      </c>
      <c r="I9" s="2">
        <f>E9-B9</f>
        <v>8.7000000000000188E-2</v>
      </c>
      <c r="J9" s="2">
        <f>I9/B9</f>
        <v>4.9069373942470497E-2</v>
      </c>
      <c r="K9" s="2">
        <f>F9-C9</f>
        <v>1.0300000000000004E-2</v>
      </c>
      <c r="L9" s="2">
        <f>K9/C9</f>
        <v>5.8622652248150275E-2</v>
      </c>
      <c r="M9" s="2">
        <f t="shared" si="1"/>
        <v>7.076985167995157</v>
      </c>
      <c r="N9" s="2">
        <f t="shared" si="2"/>
        <v>6.0414089894442599E-3</v>
      </c>
      <c r="O9" s="2">
        <f t="shared" si="3"/>
        <v>1.7539355322338832</v>
      </c>
      <c r="P9" s="2">
        <f t="shared" si="4"/>
        <v>1.0752660894594868E-2</v>
      </c>
      <c r="Q9" s="2">
        <f t="shared" si="5"/>
        <v>0.17647058823529413</v>
      </c>
      <c r="R9" s="2">
        <f t="shared" si="6"/>
        <v>4.3858180722489131E-3</v>
      </c>
      <c r="S9" s="1"/>
    </row>
    <row r="10" spans="1:22" x14ac:dyDescent="0.2">
      <c r="A10" s="2">
        <v>7.47</v>
      </c>
      <c r="B10" s="2">
        <v>1.8680000000000001</v>
      </c>
      <c r="C10" s="2">
        <v>0.18509999999999999</v>
      </c>
      <c r="D10" s="2">
        <v>7.45</v>
      </c>
      <c r="E10" s="2">
        <v>1.95</v>
      </c>
      <c r="F10" s="2">
        <v>0.19500000000000001</v>
      </c>
      <c r="G10" s="2">
        <f t="shared" si="0"/>
        <v>-1.9999999999999574E-2</v>
      </c>
      <c r="H10" s="2">
        <f>(D10-A10)/A10</f>
        <v>-2.6773761713520181E-3</v>
      </c>
      <c r="I10" s="2">
        <f>E10-B10</f>
        <v>8.1999999999999851E-2</v>
      </c>
      <c r="J10" s="2">
        <f>I10/B10</f>
        <v>4.3897216274089851E-2</v>
      </c>
      <c r="K10" s="2">
        <f>F10-C10</f>
        <v>9.9000000000000199E-3</v>
      </c>
      <c r="L10" s="2">
        <f>K10/C10</f>
        <v>5.348460291734209E-2</v>
      </c>
      <c r="M10" s="2">
        <f t="shared" si="1"/>
        <v>7.4503077388759973</v>
      </c>
      <c r="N10" s="2">
        <f t="shared" si="2"/>
        <v>2.6361795346723513E-3</v>
      </c>
      <c r="O10" s="2">
        <f t="shared" si="3"/>
        <v>1.8382683658170915</v>
      </c>
      <c r="P10" s="2">
        <f t="shared" si="4"/>
        <v>1.5916292389137356E-2</v>
      </c>
      <c r="Q10" s="2">
        <f t="shared" si="5"/>
        <v>0.18544366899302095</v>
      </c>
      <c r="R10" s="2">
        <f t="shared" si="6"/>
        <v>1.85666662896252E-3</v>
      </c>
      <c r="S10" s="1"/>
    </row>
    <row r="11" spans="1:22" x14ac:dyDescent="0.2">
      <c r="A11" s="2">
        <v>8.07</v>
      </c>
      <c r="B11" s="2">
        <v>2.028</v>
      </c>
      <c r="C11" s="2">
        <v>0.20100000000000001</v>
      </c>
      <c r="D11" s="2">
        <v>8.06</v>
      </c>
      <c r="E11" s="2">
        <v>2.13</v>
      </c>
      <c r="F11" s="2">
        <v>0.21099999999999999</v>
      </c>
      <c r="G11" s="2">
        <f t="shared" si="0"/>
        <v>-9.9999999999997868E-3</v>
      </c>
      <c r="H11" s="2">
        <f>(D11-A11)/A11</f>
        <v>-1.2391573729863428E-3</v>
      </c>
      <c r="I11" s="2">
        <f>E11-B11</f>
        <v>0.10199999999999987</v>
      </c>
      <c r="J11" s="2">
        <f>I11/B11</f>
        <v>5.0295857988165618E-2</v>
      </c>
      <c r="K11" s="2">
        <f>F11-C11</f>
        <v>9.9999999999999811E-3</v>
      </c>
      <c r="L11" s="2">
        <f>K11/C11</f>
        <v>4.9751243781094433E-2</v>
      </c>
      <c r="M11" s="2">
        <f t="shared" si="1"/>
        <v>8.0657854908687323</v>
      </c>
      <c r="N11" s="2">
        <f t="shared" si="2"/>
        <v>5.2224400635290881E-4</v>
      </c>
      <c r="O11" s="2">
        <f t="shared" si="3"/>
        <v>2.0069340329835081</v>
      </c>
      <c r="P11" s="2">
        <f t="shared" si="4"/>
        <v>1.0387557700439785E-2</v>
      </c>
      <c r="Q11" s="2">
        <f t="shared" si="5"/>
        <v>0.20139581256231306</v>
      </c>
      <c r="R11" s="2">
        <f t="shared" si="6"/>
        <v>1.9692167279256349E-3</v>
      </c>
      <c r="S11" s="1"/>
    </row>
    <row r="12" spans="1:22" x14ac:dyDescent="0.2">
      <c r="A12" s="2">
        <v>8.4499999999999993</v>
      </c>
      <c r="B12" s="2">
        <v>2.1309999999999998</v>
      </c>
      <c r="C12" s="2">
        <v>0.21110000000000001</v>
      </c>
      <c r="D12" s="2">
        <v>8.48</v>
      </c>
      <c r="E12" s="2">
        <v>2.25</v>
      </c>
      <c r="F12" s="2">
        <v>0.222</v>
      </c>
      <c r="G12" s="2">
        <f t="shared" si="0"/>
        <v>3.0000000000001137E-2</v>
      </c>
      <c r="H12" s="2">
        <f>(D12-A12)/A12</f>
        <v>3.5502958579883004E-3</v>
      </c>
      <c r="I12" s="2">
        <f>E12-B12</f>
        <v>0.11900000000000022</v>
      </c>
      <c r="J12" s="2">
        <f>I12/B12</f>
        <v>5.5842327545753273E-2</v>
      </c>
      <c r="K12" s="2">
        <f>F12-C12</f>
        <v>1.0899999999999993E-2</v>
      </c>
      <c r="L12" s="2">
        <f>K12/C12</f>
        <v>5.1634296541923225E-2</v>
      </c>
      <c r="M12" s="2">
        <f t="shared" si="1"/>
        <v>8.4895570578145492</v>
      </c>
      <c r="N12" s="2">
        <f t="shared" si="2"/>
        <v>4.6813086171064947E-3</v>
      </c>
      <c r="O12" s="2">
        <f t="shared" si="3"/>
        <v>2.119377811094453</v>
      </c>
      <c r="P12" s="2">
        <f t="shared" si="4"/>
        <v>5.4538662156484201E-3</v>
      </c>
      <c r="Q12" s="2">
        <f t="shared" si="5"/>
        <v>0.21236291126620141</v>
      </c>
      <c r="R12" s="2">
        <f t="shared" si="6"/>
        <v>5.9825261307503534E-3</v>
      </c>
      <c r="S12" s="1"/>
    </row>
    <row r="13" spans="1:22" ht="15" customHeight="1" x14ac:dyDescent="0.2">
      <c r="A13" s="2">
        <v>9.24</v>
      </c>
      <c r="B13" s="2">
        <v>2.34</v>
      </c>
      <c r="C13" s="2">
        <v>0.2321</v>
      </c>
      <c r="D13" s="2">
        <v>9.24</v>
      </c>
      <c r="E13" s="2">
        <v>2.4700000000000002</v>
      </c>
      <c r="F13" s="2">
        <v>0.24199999999999999</v>
      </c>
      <c r="G13" s="2">
        <f t="shared" si="0"/>
        <v>0</v>
      </c>
      <c r="H13" s="2">
        <f>(D13-A13)/A13</f>
        <v>0</v>
      </c>
      <c r="I13" s="2">
        <f>E13-B13</f>
        <v>0.13000000000000034</v>
      </c>
      <c r="J13" s="2">
        <f>I13/B13</f>
        <v>5.5555555555555705E-2</v>
      </c>
      <c r="K13" s="2">
        <f>F13-C13</f>
        <v>9.8999999999999921E-3</v>
      </c>
      <c r="L13" s="2">
        <f>K13/C13</f>
        <v>4.2654028436018926E-2</v>
      </c>
      <c r="M13" s="2">
        <f t="shared" si="1"/>
        <v>9.2563817980022201</v>
      </c>
      <c r="N13" s="2">
        <f t="shared" si="2"/>
        <v>1.7729218617121036E-3</v>
      </c>
      <c r="O13" s="2">
        <f t="shared" si="3"/>
        <v>2.3255247376311847</v>
      </c>
      <c r="P13" s="2">
        <f t="shared" si="4"/>
        <v>6.1860095593227072E-3</v>
      </c>
      <c r="Q13" s="2">
        <f t="shared" si="5"/>
        <v>0.23230309072781655</v>
      </c>
      <c r="R13" s="2">
        <f t="shared" si="6"/>
        <v>8.750139070079541E-4</v>
      </c>
      <c r="S13" s="1"/>
      <c r="T13" s="1"/>
      <c r="U13" s="1"/>
      <c r="V13" s="1"/>
    </row>
    <row r="14" spans="1:22" ht="17" customHeight="1" x14ac:dyDescent="0.2">
      <c r="A14" s="2">
        <v>9.6</v>
      </c>
      <c r="B14" s="2">
        <v>2.4300000000000002</v>
      </c>
      <c r="C14" s="2">
        <v>0.2419</v>
      </c>
      <c r="D14" s="2">
        <v>9.6300000000000008</v>
      </c>
      <c r="E14" s="2">
        <v>2.57</v>
      </c>
      <c r="F14" s="2">
        <v>0.252</v>
      </c>
      <c r="G14" s="2">
        <f t="shared" si="0"/>
        <v>3.0000000000001137E-2</v>
      </c>
      <c r="H14" s="2">
        <f>(D14-A14)/A14</f>
        <v>3.1250000000001186E-3</v>
      </c>
      <c r="I14" s="2">
        <f>E14-B14</f>
        <v>0.13999999999999968</v>
      </c>
      <c r="J14" s="2">
        <f>I14/B14</f>
        <v>5.7613168724279698E-2</v>
      </c>
      <c r="K14" s="2">
        <f>F14-C14</f>
        <v>1.0099999999999998E-2</v>
      </c>
      <c r="L14" s="2">
        <f>K14/C14</f>
        <v>4.1752790409260013E-2</v>
      </c>
      <c r="M14" s="2">
        <f t="shared" si="1"/>
        <v>9.6498839673090515</v>
      </c>
      <c r="N14" s="2">
        <f t="shared" si="2"/>
        <v>5.1962465946929033E-3</v>
      </c>
      <c r="O14" s="2">
        <f t="shared" si="3"/>
        <v>2.4192278860569716</v>
      </c>
      <c r="P14" s="2">
        <f t="shared" si="4"/>
        <v>4.4329687008348032E-3</v>
      </c>
      <c r="Q14" s="2">
        <f t="shared" si="5"/>
        <v>0.24227318045862414</v>
      </c>
      <c r="R14" s="2">
        <f t="shared" si="6"/>
        <v>1.5427054924520025E-3</v>
      </c>
      <c r="S14" s="1"/>
      <c r="T14" s="1"/>
      <c r="U14" s="1"/>
      <c r="V14" s="1"/>
    </row>
    <row r="15" spans="1:22" x14ac:dyDescent="0.2">
      <c r="A15" s="2">
        <v>9.83</v>
      </c>
      <c r="B15" s="2">
        <v>2.4900000000000002</v>
      </c>
      <c r="C15" s="2">
        <v>0.24759999999999999</v>
      </c>
      <c r="D15" s="2">
        <v>9.86</v>
      </c>
      <c r="E15" s="2">
        <v>2.64</v>
      </c>
      <c r="F15" s="2">
        <v>0.255</v>
      </c>
      <c r="G15" s="2">
        <f t="shared" si="0"/>
        <v>2.9999999999999361E-2</v>
      </c>
      <c r="H15" s="2">
        <f>(D15-A15)/A15</f>
        <v>3.0518819938961709E-3</v>
      </c>
      <c r="I15" s="2">
        <f>E15-B15</f>
        <v>0.14999999999999991</v>
      </c>
      <c r="J15" s="2">
        <f>I15/B15</f>
        <v>6.0240963855421645E-2</v>
      </c>
      <c r="K15" s="2">
        <f>F15-C15</f>
        <v>7.4000000000000177E-3</v>
      </c>
      <c r="L15" s="2">
        <f>K15/C15</f>
        <v>2.9886914378029154E-2</v>
      </c>
      <c r="M15" s="2">
        <f t="shared" si="1"/>
        <v>9.8819493492079502</v>
      </c>
      <c r="N15" s="2">
        <f t="shared" si="2"/>
        <v>5.2847761147456901E-3</v>
      </c>
      <c r="O15" s="2">
        <f t="shared" si="3"/>
        <v>2.484820089955023</v>
      </c>
      <c r="P15" s="2">
        <f t="shared" si="4"/>
        <v>2.0802851586253809E-3</v>
      </c>
      <c r="Q15" s="2">
        <f t="shared" si="5"/>
        <v>0.24526420737786642</v>
      </c>
      <c r="R15" s="2">
        <f t="shared" si="6"/>
        <v>9.4337343381808159E-3</v>
      </c>
      <c r="S15" s="1"/>
      <c r="T15" s="1"/>
      <c r="U15" s="1"/>
      <c r="V15" s="1"/>
    </row>
    <row r="16" spans="1:22" x14ac:dyDescent="0.2">
      <c r="A16" s="2">
        <v>10.09</v>
      </c>
      <c r="B16" s="2">
        <v>2.56</v>
      </c>
      <c r="C16" s="2">
        <v>0.25459999999999999</v>
      </c>
      <c r="D16" s="2">
        <v>10.119999999999999</v>
      </c>
      <c r="E16" s="2">
        <v>2.73</v>
      </c>
      <c r="F16" s="2">
        <v>0.26600000000000001</v>
      </c>
      <c r="G16" s="2">
        <f t="shared" si="0"/>
        <v>2.9999999999999361E-2</v>
      </c>
      <c r="H16" s="2">
        <f>(D16-A16)/A16</f>
        <v>2.9732408325073697E-3</v>
      </c>
      <c r="I16" s="2">
        <f>E16-B16</f>
        <v>0.16999999999999993</v>
      </c>
      <c r="J16" s="2">
        <f>I16/B16</f>
        <v>6.6406249999999972E-2</v>
      </c>
      <c r="K16" s="2">
        <f>F16-C16</f>
        <v>1.1400000000000021E-2</v>
      </c>
      <c r="L16" s="2">
        <f>K16/C16</f>
        <v>4.4776119402985162E-2</v>
      </c>
      <c r="M16" s="2">
        <f t="shared" si="1"/>
        <v>10.144284128745836</v>
      </c>
      <c r="N16" s="2">
        <f t="shared" si="2"/>
        <v>5.379992938140358E-3</v>
      </c>
      <c r="O16" s="2">
        <f t="shared" si="3"/>
        <v>2.5691529235382311</v>
      </c>
      <c r="P16" s="2">
        <f t="shared" si="4"/>
        <v>3.575360757121504E-3</v>
      </c>
      <c r="Q16" s="2">
        <f t="shared" si="5"/>
        <v>0.25623130608175476</v>
      </c>
      <c r="R16" s="2">
        <f t="shared" si="6"/>
        <v>6.4073294648655486E-3</v>
      </c>
      <c r="S16" s="1"/>
      <c r="T16" s="1"/>
      <c r="U16" s="1"/>
      <c r="V16" s="1"/>
    </row>
    <row r="17" spans="1:22" x14ac:dyDescent="0.2">
      <c r="A17" s="2">
        <v>10.71</v>
      </c>
      <c r="B17" s="2">
        <v>2.73</v>
      </c>
      <c r="C17" s="2">
        <v>0.27089999999999997</v>
      </c>
      <c r="D17" s="2">
        <v>10.68</v>
      </c>
      <c r="E17" s="2">
        <v>2.92</v>
      </c>
      <c r="F17" s="2">
        <v>0.28000000000000003</v>
      </c>
      <c r="G17" s="2">
        <f t="shared" si="0"/>
        <v>-3.0000000000001137E-2</v>
      </c>
      <c r="H17" s="2">
        <f>(D17-A17)/A17</f>
        <v>-2.8011204481793775E-3</v>
      </c>
      <c r="I17" s="2">
        <f>E17-B17</f>
        <v>0.18999999999999995</v>
      </c>
      <c r="J17" s="2">
        <f>I17/B17</f>
        <v>6.9597069597069572E-2</v>
      </c>
      <c r="K17" s="2">
        <f>F17-C17</f>
        <v>9.1000000000000525E-3</v>
      </c>
      <c r="L17" s="2">
        <f>K17/C17</f>
        <v>3.3591731266150067E-2</v>
      </c>
      <c r="M17" s="2">
        <f t="shared" si="1"/>
        <v>10.709312884673594</v>
      </c>
      <c r="N17" s="2">
        <f t="shared" si="2"/>
        <v>6.4156426368552281E-5</v>
      </c>
      <c r="O17" s="2">
        <f t="shared" si="3"/>
        <v>2.7471889055472265</v>
      </c>
      <c r="P17" s="2">
        <f t="shared" si="4"/>
        <v>6.2963023982514719E-3</v>
      </c>
      <c r="Q17" s="2">
        <f t="shared" si="5"/>
        <v>0.27018943170488541</v>
      </c>
      <c r="R17" s="2">
        <f t="shared" si="6"/>
        <v>2.622991122608219E-3</v>
      </c>
      <c r="S17" s="1"/>
      <c r="T17" s="1"/>
      <c r="U17" s="1"/>
      <c r="V17" s="1"/>
    </row>
    <row r="18" spans="1:22" x14ac:dyDescent="0.2">
      <c r="A18" s="2">
        <v>11.06</v>
      </c>
      <c r="B18" s="2">
        <v>2.82</v>
      </c>
      <c r="C18" s="2">
        <v>0.28010000000000002</v>
      </c>
      <c r="D18" s="2">
        <v>10.96</v>
      </c>
      <c r="E18" s="2">
        <v>3.01</v>
      </c>
      <c r="F18" s="2">
        <v>0.29099999999999998</v>
      </c>
      <c r="G18" s="2">
        <f t="shared" si="0"/>
        <v>-9.9999999999999645E-2</v>
      </c>
      <c r="H18" s="2">
        <f>(D18-A18)/A18</f>
        <v>-9.0415913200723001E-3</v>
      </c>
      <c r="I18" s="2">
        <f>E18-B18</f>
        <v>0.18999999999999995</v>
      </c>
      <c r="J18" s="2">
        <f>I18/B18</f>
        <v>6.7375886524822681E-2</v>
      </c>
      <c r="K18" s="2">
        <f>F18-C18</f>
        <v>1.0899999999999965E-2</v>
      </c>
      <c r="L18" s="2">
        <f>K18/C18</f>
        <v>3.8914673330953102E-2</v>
      </c>
      <c r="M18" s="2">
        <f t="shared" si="1"/>
        <v>10.991827262637473</v>
      </c>
      <c r="N18" s="2">
        <f t="shared" si="2"/>
        <v>6.1639003040259632E-3</v>
      </c>
      <c r="O18" s="2">
        <f t="shared" si="3"/>
        <v>2.8315217391304346</v>
      </c>
      <c r="P18" s="2">
        <f t="shared" si="4"/>
        <v>4.0857230958988473E-3</v>
      </c>
      <c r="Q18" s="2">
        <f t="shared" si="5"/>
        <v>0.2811565304087737</v>
      </c>
      <c r="R18" s="2">
        <f t="shared" si="6"/>
        <v>3.7719757542794769E-3</v>
      </c>
      <c r="S18" s="1"/>
      <c r="T18" s="1"/>
      <c r="U18" s="1"/>
      <c r="V18" s="1"/>
    </row>
    <row r="19" spans="1:22" x14ac:dyDescent="0.2">
      <c r="A19" s="2">
        <v>11.54</v>
      </c>
      <c r="B19" s="2">
        <v>2.95</v>
      </c>
      <c r="C19" s="2">
        <v>0.29270000000000002</v>
      </c>
      <c r="D19" s="2">
        <v>11.56</v>
      </c>
      <c r="E19" s="2">
        <v>3.15</v>
      </c>
      <c r="F19" s="2">
        <v>0.30399999999999999</v>
      </c>
      <c r="G19" s="2">
        <f t="shared" si="0"/>
        <v>2.000000000000135E-2</v>
      </c>
      <c r="H19" s="2">
        <f>(D19-A19)/A19</f>
        <v>1.7331022530330462E-3</v>
      </c>
      <c r="I19" s="2">
        <f>E19-B19</f>
        <v>0.19999999999999973</v>
      </c>
      <c r="J19" s="2">
        <f>I19/B19</f>
        <v>6.7796610169491428E-2</v>
      </c>
      <c r="K19" s="2">
        <f>F19-C19</f>
        <v>1.1299999999999977E-2</v>
      </c>
      <c r="L19" s="2">
        <f>K19/C19</f>
        <v>3.860608131192339E-2</v>
      </c>
      <c r="M19" s="2">
        <f t="shared" si="1"/>
        <v>11.597215215417213</v>
      </c>
      <c r="N19" s="2">
        <f t="shared" si="2"/>
        <v>4.9579909373669052E-3</v>
      </c>
      <c r="O19" s="2">
        <f t="shared" si="3"/>
        <v>2.962706146926537</v>
      </c>
      <c r="P19" s="2">
        <f t="shared" si="4"/>
        <v>4.3071684496734982E-3</v>
      </c>
      <c r="Q19" s="2">
        <f t="shared" si="5"/>
        <v>0.29411764705882354</v>
      </c>
      <c r="R19" s="2">
        <f t="shared" si="6"/>
        <v>4.8433449225265572E-3</v>
      </c>
      <c r="S19" s="1"/>
      <c r="T19" s="1"/>
      <c r="U19" s="1"/>
      <c r="V19" s="1"/>
    </row>
    <row r="20" spans="1:22" x14ac:dyDescent="0.2">
      <c r="A20" s="2">
        <v>12</v>
      </c>
      <c r="B20" s="2">
        <v>3.07</v>
      </c>
      <c r="C20" s="2">
        <v>0.30470000000000003</v>
      </c>
      <c r="D20" s="2">
        <v>11.88</v>
      </c>
      <c r="E20" s="2">
        <v>3.27</v>
      </c>
      <c r="F20" s="2">
        <v>0.31</v>
      </c>
      <c r="G20" s="2">
        <f t="shared" si="0"/>
        <v>-0.11999999999999922</v>
      </c>
      <c r="H20" s="2">
        <f>(D20-A20)/A20</f>
        <v>-9.9999999999999343E-3</v>
      </c>
      <c r="I20" s="2">
        <f>E20-B20</f>
        <v>0.20000000000000018</v>
      </c>
      <c r="J20" s="2">
        <f>I20/B20</f>
        <v>6.5146579804560317E-2</v>
      </c>
      <c r="K20" s="2">
        <f>F20-C20</f>
        <v>5.2999999999999714E-3</v>
      </c>
      <c r="L20" s="2">
        <f>K20/C20</f>
        <v>1.7394158188381921E-2</v>
      </c>
      <c r="M20" s="2">
        <f t="shared" si="1"/>
        <v>11.920088790233075</v>
      </c>
      <c r="N20" s="2">
        <f t="shared" si="2"/>
        <v>6.6592674805770651E-3</v>
      </c>
      <c r="O20" s="2">
        <f t="shared" si="3"/>
        <v>3.0751499250374814</v>
      </c>
      <c r="P20" s="2">
        <f t="shared" si="4"/>
        <v>1.6775000122089816E-3</v>
      </c>
      <c r="Q20" s="2">
        <f t="shared" si="5"/>
        <v>0.30009970089730809</v>
      </c>
      <c r="R20" s="2">
        <f t="shared" si="6"/>
        <v>1.5097798170961406E-2</v>
      </c>
      <c r="S20" s="1"/>
      <c r="T20" s="1"/>
      <c r="U20" s="1"/>
      <c r="V20" s="1"/>
    </row>
    <row r="21" spans="1:22" x14ac:dyDescent="0.2">
      <c r="A21" s="2">
        <v>12.32</v>
      </c>
      <c r="B21" s="2">
        <v>3.15</v>
      </c>
      <c r="C21" s="2">
        <v>0.31309999999999999</v>
      </c>
      <c r="D21" s="2">
        <v>12.25</v>
      </c>
      <c r="E21" s="2">
        <v>3.39</v>
      </c>
      <c r="F21" s="2">
        <v>0.32500000000000001</v>
      </c>
      <c r="G21" s="2">
        <f t="shared" si="0"/>
        <v>-7.0000000000000284E-2</v>
      </c>
      <c r="H21" s="2">
        <f>(D21-A21)/A21</f>
        <v>-5.6818181818182045E-3</v>
      </c>
      <c r="I21" s="2">
        <f>E21-B21</f>
        <v>0.24000000000000021</v>
      </c>
      <c r="J21" s="2">
        <f>I21/B21</f>
        <v>7.6190476190476267E-2</v>
      </c>
      <c r="K21" s="2">
        <f>F21-C21</f>
        <v>1.1900000000000022E-2</v>
      </c>
      <c r="L21" s="2">
        <f>K21/C21</f>
        <v>3.8007026509102593E-2</v>
      </c>
      <c r="M21" s="2">
        <f t="shared" si="1"/>
        <v>12.293411361113913</v>
      </c>
      <c r="N21" s="2">
        <f t="shared" si="2"/>
        <v>2.1581687407538491E-3</v>
      </c>
      <c r="O21" s="2">
        <f t="shared" si="3"/>
        <v>3.1875937031484263</v>
      </c>
      <c r="P21" s="2">
        <f t="shared" si="4"/>
        <v>1.1934508936008368E-2</v>
      </c>
      <c r="Q21" s="2">
        <f t="shared" si="5"/>
        <v>0.31505483549351948</v>
      </c>
      <c r="R21" s="2">
        <f t="shared" si="6"/>
        <v>6.2434860859772951E-3</v>
      </c>
      <c r="S21" s="1"/>
      <c r="T21" s="1"/>
      <c r="U21" s="1"/>
      <c r="V21" s="1"/>
    </row>
    <row r="22" spans="1:2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">
      <c r="A24" s="1"/>
      <c r="B24" s="1"/>
      <c r="C24" s="1"/>
      <c r="D24" s="1"/>
      <c r="E24" s="1"/>
      <c r="F24" s="1"/>
      <c r="G24" s="1"/>
      <c r="H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</sheetData>
  <mergeCells count="4">
    <mergeCell ref="M1:R1"/>
    <mergeCell ref="A1:C1"/>
    <mergeCell ref="D1:F1"/>
    <mergeCell ref="G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Error correction iteration1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2023-06-02T15:20:44Z</dcterms:created>
  <dcterms:modified xsi:type="dcterms:W3CDTF">2023-06-05T12:07:05Z</dcterms:modified>
</cp:coreProperties>
</file>